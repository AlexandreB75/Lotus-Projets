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/Users/abringel/Downloads/"/>
    </mc:Choice>
  </mc:AlternateContent>
  <xr:revisionPtr revIDLastSave="0" documentId="13_ncr:1_{DE28429B-9EB0-B346-9963-FF352F57F64A}" xr6:coauthVersionLast="47" xr6:coauthVersionMax="47" xr10:uidLastSave="{00000000-0000-0000-0000-000000000000}"/>
  <bookViews>
    <workbookView xWindow="0" yWindow="500" windowWidth="20500" windowHeight="15520" xr2:uid="{00000000-000D-0000-FFFF-FFFF00000000}"/>
  </bookViews>
  <sheets>
    <sheet name="Proposta" sheetId="2" r:id="rId1"/>
    <sheet name="Intermediacao" sheetId="6" r:id="rId2"/>
    <sheet name="Bordero Lancamento" sheetId="8" r:id="rId3"/>
    <sheet name="FLUXO" sheetId="5" r:id="rId4"/>
  </sheets>
  <definedNames>
    <definedName name="_xlnm._FilterDatabase" localSheetId="2" hidden="1">'Bordero Lancamento'!$B$23:$B$24</definedName>
    <definedName name="_xlnm.Print_Area" localSheetId="2">'Bordero Lancamento'!$A$1:$L$37</definedName>
    <definedName name="_xlnm.Print_Area" localSheetId="1">Intermediacao!$A$1:$J$150</definedName>
    <definedName name="_xlnm.Print_Area" localSheetId="0">Proposta!$A$1:$K$78</definedName>
    <definedName name="Excel_BuiltIn_Print_Area_1_1" localSheetId="2">#REF!</definedName>
    <definedName name="Excel_BuiltIn_Print_Area_1_1">Proposta!$A$2:$K$74</definedName>
    <definedName name="Excel_BuiltIn_Print_Area_2" localSheetId="2">#REF!</definedName>
    <definedName name="Excel_BuiltIn_Print_Area_2">Proposta!$A$2:$L$74</definedName>
    <definedName name="Excel_BuiltIn_Print_Area_2_1" localSheetId="2">#REF!</definedName>
    <definedName name="Excel_BuiltIn_Print_Area_2_1">Proposta!$A$2:$G$74</definedName>
    <definedName name="Selecionar1" localSheetId="0">Proposta!$P$8</definedName>
    <definedName name="Selecionar2" localSheetId="0">Proposta!$P$6</definedName>
    <definedName name="Selecionar3" localSheetId="0">Proposta!$P$10</definedName>
    <definedName name="Selecionar4" localSheetId="0">Proposta!$Q$14</definedName>
    <definedName name="Selecionar5" localSheetId="0">Proposta!$O$6</definedName>
    <definedName name="Selecionar6" localSheetId="0">#REF!</definedName>
    <definedName name="Selecionar7" localSheetId="0">#REF!</definedName>
    <definedName name="Selecionar8" localSheetId="0">Proposta!$M$12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3" i="8"/>
  <c r="E34" i="2" l="1"/>
  <c r="E43" i="2"/>
  <c r="B17" i="6" l="1"/>
  <c r="G17" i="6"/>
  <c r="E36" i="2" l="1"/>
  <c r="E37" i="2"/>
  <c r="E38" i="2"/>
  <c r="E39" i="2"/>
  <c r="E40" i="2"/>
  <c r="E41" i="2"/>
  <c r="E42" i="2"/>
  <c r="C13" i="6" l="1"/>
  <c r="B14" i="6"/>
  <c r="B15" i="6"/>
  <c r="G14" i="6"/>
  <c r="G16" i="6"/>
  <c r="B16" i="6"/>
  <c r="E47" i="2" l="1"/>
  <c r="E46" i="2"/>
  <c r="F26" i="8" l="1"/>
  <c r="F30" i="8" l="1"/>
  <c r="F29" i="8"/>
  <c r="A37" i="6"/>
  <c r="F31" i="8"/>
  <c r="H25" i="8"/>
  <c r="F27" i="8"/>
  <c r="H32" i="8"/>
  <c r="I32" i="8"/>
  <c r="J32" i="8"/>
  <c r="K32" i="8"/>
  <c r="C74" i="2"/>
  <c r="I122" i="6" s="1"/>
  <c r="B13" i="8" s="1"/>
  <c r="C33" i="6"/>
  <c r="B11" i="8" s="1"/>
  <c r="D32" i="8"/>
  <c r="K25" i="8"/>
  <c r="J25" i="8"/>
  <c r="I25" i="8"/>
  <c r="B22" i="6"/>
  <c r="G20" i="6"/>
  <c r="B20" i="6"/>
  <c r="C37" i="6"/>
  <c r="C129" i="6"/>
  <c r="C125" i="6"/>
  <c r="C137" i="6"/>
  <c r="C133" i="6"/>
  <c r="E48" i="2"/>
  <c r="E49" i="2"/>
  <c r="G59" i="6"/>
  <c r="C59" i="6"/>
  <c r="G58" i="6"/>
  <c r="C58" i="6"/>
  <c r="G34" i="6"/>
  <c r="B34" i="6"/>
  <c r="G23" i="6"/>
  <c r="B23" i="6"/>
  <c r="G22" i="6"/>
  <c r="B21" i="6"/>
  <c r="C19" i="6"/>
  <c r="E35" i="2"/>
  <c r="E44" i="2" s="1"/>
  <c r="F32" i="8" l="1"/>
  <c r="E50" i="2"/>
  <c r="B15" i="8"/>
  <c r="B17" i="8" s="1"/>
  <c r="I61" i="6"/>
  <c r="I60" i="6"/>
  <c r="I63" i="6"/>
  <c r="I59" i="6"/>
  <c r="I58" i="6"/>
  <c r="B2" i="8"/>
  <c r="E29" i="8" l="1"/>
  <c r="G29" i="8" s="1"/>
  <c r="E52" i="2"/>
  <c r="E56" i="2" s="1"/>
  <c r="F44" i="2" s="1"/>
  <c r="E30" i="8"/>
  <c r="G30" i="8" s="1"/>
  <c r="G28" i="8"/>
  <c r="E27" i="8"/>
  <c r="G27" i="8" s="1"/>
  <c r="E31" i="8"/>
  <c r="G31" i="8" s="1"/>
  <c r="E26" i="8"/>
  <c r="G26" i="8" s="1"/>
  <c r="G32" i="8" l="1"/>
  <c r="I34" i="6"/>
  <c r="B14" i="8" s="1"/>
  <c r="E32" i="8"/>
</calcChain>
</file>

<file path=xl/sharedStrings.xml><?xml version="1.0" encoding="utf-8"?>
<sst xmlns="http://schemas.openxmlformats.org/spreadsheetml/2006/main" count="316" uniqueCount="241">
  <si>
    <t xml:space="preserve">  DADOS DO(S) ADQUIRENTE(S)</t>
  </si>
  <si>
    <t>1ºPROPONENTE:</t>
  </si>
  <si>
    <t>NACIONALIDADE:</t>
  </si>
  <si>
    <t>NATURALIDADE:</t>
  </si>
  <si>
    <t>NASCIMENTO:</t>
  </si>
  <si>
    <t>CASADO(A)</t>
  </si>
  <si>
    <t>COMUNHÃO UNIVERSAL DE BENS</t>
  </si>
  <si>
    <r>
      <rPr>
        <b/>
        <sz val="11"/>
        <color theme="1"/>
        <rFont val="Arial"/>
        <family val="2"/>
      </rPr>
      <t>RG</t>
    </r>
    <r>
      <rPr>
        <b/>
        <sz val="10"/>
        <color theme="1"/>
        <rFont val="Arial"/>
        <family val="2"/>
      </rPr>
      <t>/ÓRGÃO EMISSOR:</t>
    </r>
  </si>
  <si>
    <t>DATA EMISSÃO:</t>
  </si>
  <si>
    <t xml:space="preserve">CPF: </t>
  </si>
  <si>
    <t>CONVIVENTE</t>
  </si>
  <si>
    <t>COMUNHÃO PARCIAL DE BENS</t>
  </si>
  <si>
    <t>ESTADO CIVIL:</t>
  </si>
  <si>
    <t>REGIME DE COMUNHÃO:</t>
  </si>
  <si>
    <t>DATA CASAM.:</t>
  </si>
  <si>
    <t>DIVORCIADO(A)</t>
  </si>
  <si>
    <t>SEPARAÇÃO DE BENS</t>
  </si>
  <si>
    <t>FILIAÇÃO:</t>
  </si>
  <si>
    <t>SEPARADO(A)</t>
  </si>
  <si>
    <t>PARTICIPAÇÃO FINAL NOS AQUESTOS</t>
  </si>
  <si>
    <t>ENDEREÇO:</t>
  </si>
  <si>
    <t>CEP:</t>
  </si>
  <si>
    <t>SOLTEIRO(A)</t>
  </si>
  <si>
    <r>
      <rPr>
        <sz val="11"/>
        <color theme="1"/>
        <rFont val="Arial"/>
        <family val="2"/>
      </rPr>
      <t xml:space="preserve">COMUNHÃO DE BENS </t>
    </r>
    <r>
      <rPr>
        <sz val="8"/>
        <color theme="1"/>
        <rFont val="Arial"/>
        <family val="2"/>
      </rPr>
      <t>(regime único antes de 1977)</t>
    </r>
  </si>
  <si>
    <t>FONE RESID.:</t>
  </si>
  <si>
    <t>FONE COMERCIAL:</t>
  </si>
  <si>
    <t>CELULAR:</t>
  </si>
  <si>
    <t>VIUVO(A)</t>
  </si>
  <si>
    <t>PROFISSÃO:</t>
  </si>
  <si>
    <t>CARGO:</t>
  </si>
  <si>
    <t>E-MAIL:</t>
  </si>
  <si>
    <t>EMPRESA:</t>
  </si>
  <si>
    <t>RENDA:</t>
  </si>
  <si>
    <t xml:space="preserve">  |   | SEGUNDO PROPONENTE</t>
  </si>
  <si>
    <t>|   | PROCURADOR</t>
  </si>
  <si>
    <t>ALIANÇA</t>
  </si>
  <si>
    <t>2º PROPONENTE:</t>
  </si>
  <si>
    <t>ALPHAVILLE</t>
  </si>
  <si>
    <t>ARTE</t>
  </si>
  <si>
    <r>
      <rPr>
        <b/>
        <sz val="11"/>
        <color theme="1"/>
        <rFont val="Arial"/>
        <family val="2"/>
      </rPr>
      <t>RG</t>
    </r>
    <r>
      <rPr>
        <b/>
        <sz val="10"/>
        <color theme="1"/>
        <rFont val="Arial"/>
        <family val="2"/>
      </rPr>
      <t>/ÓRGÃO EMISSOR:</t>
    </r>
  </si>
  <si>
    <t>ÁTILA</t>
  </si>
  <si>
    <t>BAMBUÍ</t>
  </si>
  <si>
    <t>BORGES LANDEIRO</t>
  </si>
  <si>
    <t>BRASAL</t>
  </si>
  <si>
    <t>BROOKFIELD</t>
  </si>
  <si>
    <t>CAMPOS</t>
  </si>
  <si>
    <t>CANADÁ</t>
  </si>
  <si>
    <t>CITY</t>
  </si>
  <si>
    <t xml:space="preserve">  SOBRE O IMÓVEL</t>
  </si>
  <si>
    <t>CMC</t>
  </si>
  <si>
    <t>CMO</t>
  </si>
  <si>
    <t>EMPREENDIMENTO:</t>
  </si>
  <si>
    <t>UNIDADE / TORRE:</t>
  </si>
  <si>
    <t>QUADRA / LOTE:</t>
  </si>
  <si>
    <t>CONSCIENTE</t>
  </si>
  <si>
    <t>DINÂMICA</t>
  </si>
  <si>
    <t>BOX(S) / LOCAL:</t>
  </si>
  <si>
    <t>ESCANINHO / LOCAL:</t>
  </si>
  <si>
    <t>INCORPORADOR / CONSTRUTOR:</t>
  </si>
  <si>
    <t>EBM</t>
  </si>
  <si>
    <t>ELMO ENGENHARIA</t>
  </si>
  <si>
    <t xml:space="preserve">  PREÇO E FORMA DE PAGAMENTO</t>
  </si>
  <si>
    <t>ENEC</t>
  </si>
  <si>
    <t>Número de Parcelas</t>
  </si>
  <si>
    <t>Periodicidade</t>
  </si>
  <si>
    <t>Data do 1° Vencimento da Serie</t>
  </si>
  <si>
    <t>Valor Unitário Nesta Data</t>
  </si>
  <si>
    <t>Valor Total da Serie de Parcelas</t>
  </si>
  <si>
    <t>Atualização Monetária</t>
  </si>
  <si>
    <t>Observações / Forma de Pagamento</t>
  </si>
  <si>
    <t>ENGEL</t>
  </si>
  <si>
    <t>ENGESEG</t>
  </si>
  <si>
    <t>EUROAMÉRICA</t>
  </si>
  <si>
    <t>FGR</t>
  </si>
  <si>
    <t>FLAMBOYANT URBANISMO</t>
  </si>
  <si>
    <t>FR</t>
  </si>
  <si>
    <t>GMS</t>
  </si>
  <si>
    <t>GOVESA</t>
  </si>
  <si>
    <t>GPL</t>
  </si>
  <si>
    <t>HABIL</t>
  </si>
  <si>
    <t>Total do Fluxo nesta data:</t>
  </si>
  <si>
    <t>Porcentagem fluxo até as chaves</t>
  </si>
  <si>
    <t>HSI</t>
  </si>
  <si>
    <t xml:space="preserve">  Financiamento</t>
  </si>
  <si>
    <t>INNOVAR</t>
  </si>
  <si>
    <t>IRMÃOS MALHEIROS</t>
  </si>
  <si>
    <t>LOFT</t>
  </si>
  <si>
    <t>LOURENÇO</t>
  </si>
  <si>
    <t>MA</t>
  </si>
  <si>
    <t>Total do Financiamento nesta data:</t>
  </si>
  <si>
    <t>MASB</t>
  </si>
  <si>
    <t>MÁXIMO</t>
  </si>
  <si>
    <t>Valor da Proposta / Preço do Imóvel:</t>
  </si>
  <si>
    <t>MCJ</t>
  </si>
  <si>
    <t>MERZIAN</t>
  </si>
  <si>
    <t>Valor da Intermediação:</t>
  </si>
  <si>
    <t>MRV</t>
  </si>
  <si>
    <t>NEW INC.</t>
  </si>
  <si>
    <t>Valor Total do Negócio:</t>
  </si>
  <si>
    <t>OLIVEIRA MELO</t>
  </si>
  <si>
    <t>OPUS</t>
  </si>
  <si>
    <t>PDG</t>
  </si>
  <si>
    <t>OBSERVAÇÕES:</t>
  </si>
  <si>
    <t>PETRÓPOLIS</t>
  </si>
  <si>
    <t>PLANO ENGENHARIA</t>
  </si>
  <si>
    <t xml:space="preserve">  CONSIDERAÇÕES GERAIS </t>
  </si>
  <si>
    <t>PRUMUS</t>
  </si>
  <si>
    <t>QUEIROZ SILVEIRA</t>
  </si>
  <si>
    <t>REGIONAL</t>
  </si>
  <si>
    <t>REMO</t>
  </si>
  <si>
    <t>SANTA TEREZA</t>
  </si>
  <si>
    <t>SIM ENGENHARIA</t>
  </si>
  <si>
    <t>TAPAJÓS</t>
  </si>
  <si>
    <t>CORRETOR (A):</t>
  </si>
  <si>
    <t>CRECI:</t>
  </si>
  <si>
    <t>GERENTE:</t>
  </si>
  <si>
    <t>TCI</t>
  </si>
  <si>
    <t>TENDA</t>
  </si>
  <si>
    <t xml:space="preserve">  LOCAL:</t>
  </si>
  <si>
    <t>asas</t>
  </si>
  <si>
    <t xml:space="preserve">  DATA:</t>
  </si>
  <si>
    <t>ASSINATURA DO(S) ADQUIRENTE(S):</t>
  </si>
  <si>
    <t>TERRAS ALPHA</t>
  </si>
  <si>
    <t>1- ________________________________________________________________________</t>
  </si>
  <si>
    <t>TOCTAO</t>
  </si>
  <si>
    <t>ASSINATURA DO(S) VENDEDOR(ES):</t>
  </si>
  <si>
    <t>TRÍPOLI</t>
  </si>
  <si>
    <t>Ass.:_________________________________________________________________</t>
  </si>
  <si>
    <t>2- ________________________________________________________________________</t>
  </si>
  <si>
    <t>TRIUNFO</t>
  </si>
  <si>
    <t>VEJA</t>
  </si>
  <si>
    <t>VILA RICA</t>
  </si>
  <si>
    <t>VIVER</t>
  </si>
  <si>
    <t>WAZCO</t>
  </si>
  <si>
    <t>CPF:</t>
  </si>
  <si>
    <t xml:space="preserve">Empreendimento: </t>
  </si>
  <si>
    <t>DADOS DA VENDA</t>
  </si>
  <si>
    <t>RAZÃO SOCIAL CONSTRUTORA:</t>
  </si>
  <si>
    <t>DATA DO CONTRATO:</t>
  </si>
  <si>
    <t>FLUXO DE PAGAMENTO</t>
  </si>
  <si>
    <t>1º PARC</t>
  </si>
  <si>
    <t>2º PARC</t>
  </si>
  <si>
    <t>3º PARC</t>
  </si>
  <si>
    <t>4º PARC</t>
  </si>
  <si>
    <t>NOMES</t>
  </si>
  <si>
    <t>TOTAL</t>
  </si>
  <si>
    <t>DIRETOR DA VENDA</t>
  </si>
  <si>
    <t xml:space="preserve">FLUXO DE PAGAMENTO </t>
  </si>
  <si>
    <t>PARCELAMENTO - ATO + 2 X</t>
  </si>
  <si>
    <t>PARCELAMENTO - ATO + 3X</t>
  </si>
  <si>
    <t>PARCELAMENTO - ATO + 4X</t>
  </si>
  <si>
    <t>PARCELAMENTO ATO + 5X</t>
  </si>
  <si>
    <t>CORRETOR</t>
  </si>
  <si>
    <t>2X</t>
  </si>
  <si>
    <t>3X</t>
  </si>
  <si>
    <t>4 X</t>
  </si>
  <si>
    <t>5X OU MAIS</t>
  </si>
  <si>
    <t>GERENTE</t>
  </si>
  <si>
    <t>1X</t>
  </si>
  <si>
    <t>4X</t>
  </si>
  <si>
    <t>COORDENADOR</t>
  </si>
  <si>
    <t>IMOBILIARIA</t>
  </si>
  <si>
    <t xml:space="preserve">4 X </t>
  </si>
  <si>
    <t>MAXIMO EM 6X</t>
  </si>
  <si>
    <t>NECESSÁRIO APROVAÇÃO DO ALBUQUERQUE</t>
  </si>
  <si>
    <t>INSTRUMENTO PARTICULAR DE INTERMEDIAÇÃO DO CONTRATO PARTICULAR DE PROMESSA DE COMPRA E VENDA DE UNIDADE IMOBILIÁRIA</t>
  </si>
  <si>
    <t>CONTRATANTE (S)</t>
  </si>
  <si>
    <t xml:space="preserve">Endereço: </t>
  </si>
  <si>
    <t>Profissão:</t>
  </si>
  <si>
    <t xml:space="preserve">Estado Civil: </t>
  </si>
  <si>
    <t>Celular:</t>
  </si>
  <si>
    <t xml:space="preserve">E-mail: </t>
  </si>
  <si>
    <t xml:space="preserve">Profissão: </t>
  </si>
  <si>
    <t>CONDIÇÕES GERAIS</t>
  </si>
  <si>
    <t xml:space="preserve">Unidade: </t>
  </si>
  <si>
    <t>Quadra/Lote</t>
  </si>
  <si>
    <t>Valor Total:</t>
  </si>
  <si>
    <t>N°de Parcela</t>
  </si>
  <si>
    <t>Forma de Pagamento</t>
  </si>
  <si>
    <t>Valor</t>
  </si>
  <si>
    <t>Vencimento</t>
  </si>
  <si>
    <t>CARGO</t>
  </si>
  <si>
    <t>NOME COMPLETO</t>
  </si>
  <si>
    <t>CRECI</t>
  </si>
  <si>
    <t>DIRETOR DE VENDA</t>
  </si>
  <si>
    <t>MY BROKER</t>
  </si>
  <si>
    <t>E, por as partes estarem assim justas e contratadas, assinam o presente em duas vias de igual teor juntamente na presença de duas testemunhas que subscrevem.</t>
  </si>
  <si>
    <t>Goiânia-GO,</t>
  </si>
  <si>
    <t>1º PROPONENTE</t>
  </si>
  <si>
    <t xml:space="preserve">1º Proponente: </t>
  </si>
  <si>
    <t xml:space="preserve">2º Proponente: </t>
  </si>
  <si>
    <t>2º PROPONENTE</t>
  </si>
  <si>
    <t>Comissão R$</t>
  </si>
  <si>
    <t>Comissão %</t>
  </si>
  <si>
    <t>Informe Valor Total por extenso:</t>
  </si>
  <si>
    <r>
      <rPr>
        <b/>
        <sz val="9"/>
        <color theme="1"/>
        <rFont val="Arial"/>
        <family val="2"/>
      </rPr>
      <t>CLÁUSULA SEGUNDA</t>
    </r>
    <r>
      <rPr>
        <sz val="9"/>
        <color theme="1"/>
        <rFont val="Arial"/>
        <family val="2"/>
      </rPr>
      <t xml:space="preserve"> –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, em função da intermediação havida para a aquisição da unidade comercial descrita na Cláusula 1ª, </t>
    </r>
    <r>
      <rPr>
        <b/>
        <sz val="9"/>
        <color theme="1"/>
        <rFont val="Arial"/>
        <family val="2"/>
      </rPr>
      <t>pagará(ão), neste ato, à CONTRATADA, a quantia total de</t>
    </r>
  </si>
  <si>
    <t xml:space="preserve">referente à PRESTAÇÃO DE SERVIÇOS DE INTERMEDIAÇÃO IMOBILIÁRIA (CORRETAGEM e PRÊMIO). </t>
  </si>
  <si>
    <t>Sendo tais valores pagos diretamente pelo (a)(s) CONTRATANTE(S) a título do serviço prestado pela CONTRATADA, da seguinte forma:</t>
  </si>
  <si>
    <r>
      <rPr>
        <b/>
        <sz val="9"/>
        <color theme="1"/>
        <rFont val="Arial"/>
        <family val="2"/>
      </rPr>
      <t>CLÁUSULA OITAVA</t>
    </r>
    <r>
      <rPr>
        <sz val="9"/>
        <color theme="1"/>
        <rFont val="Arial"/>
        <family val="2"/>
      </rPr>
      <t xml:space="preserve"> – Nos termos definidos neste instrumento, cujas obrigações estão claras e definidas, constitui-se o presente documento assinado por duas testemunhas extrajudicial como título executivo (artigos 586 e 784, III do CPC) – que a partir da assinatura das partes torna-se plenamente eficaz e válido nos moldes legais estabelecidos.  
</t>
    </r>
    <r>
      <rPr>
        <b/>
        <sz val="9"/>
        <color theme="1"/>
        <rFont val="Arial"/>
        <family val="2"/>
      </rPr>
      <t>CLÁUSULA NONA</t>
    </r>
    <r>
      <rPr>
        <sz val="9"/>
        <color theme="1"/>
        <rFont val="Arial"/>
        <family val="2"/>
      </rPr>
      <t xml:space="preserve"> –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declara(m), expressamente, que leram atentamente todas as cláusulas e condições aqui pactuadas, notadamente a parte do preço e condições de pagamento, estando, portanto, em concordância com a plenitude das avenças.
</t>
    </r>
    <r>
      <rPr>
        <b/>
        <sz val="9"/>
        <color theme="1"/>
        <rFont val="Arial"/>
        <family val="2"/>
      </rPr>
      <t>CLÁUSULA DÉCIMA</t>
    </r>
    <r>
      <rPr>
        <sz val="9"/>
        <color theme="1"/>
        <rFont val="Arial"/>
        <family val="2"/>
      </rPr>
      <t xml:space="preserve"> – </t>
    </r>
    <r>
      <rPr>
        <b/>
        <sz val="9"/>
        <color theme="1"/>
        <rFont val="Arial"/>
        <family val="2"/>
      </rPr>
      <t>O foro competente para solucionar possíveis questionamentos jurídicos e/ou para a devida execução do presente termo de acordo, será na comarca de Goiânia – Goiás.</t>
    </r>
  </si>
  <si>
    <r>
      <rPr>
        <b/>
        <sz val="9"/>
        <color theme="1"/>
        <rFont val="Arial"/>
        <family val="2"/>
      </rPr>
      <t xml:space="preserve">PARÁGRAFO SEGUNDO: </t>
    </r>
    <r>
      <rPr>
        <sz val="9"/>
        <color theme="1"/>
        <rFont val="Arial"/>
        <family val="2"/>
      </rPr>
      <t xml:space="preserve"> Os valores e forma de pagamento descritos acima serão cumpridos de modo direto entre o (a)(s) </t>
    </r>
    <r>
      <rPr>
        <b/>
        <sz val="9"/>
        <color theme="1"/>
        <rFont val="Arial"/>
        <family val="2"/>
      </rPr>
      <t>CONTRATANTE (S)</t>
    </r>
    <r>
      <rPr>
        <sz val="9"/>
        <color theme="1"/>
        <rFont val="Arial"/>
        <family val="2"/>
      </rPr>
      <t xml:space="preserve"> e cada sujeito favorecido na tabela retro mencionada, uma vez que os mesmos são associados da </t>
    </r>
    <r>
      <rPr>
        <b/>
        <sz val="9"/>
        <color theme="1"/>
        <rFont val="Arial"/>
        <family val="2"/>
      </rPr>
      <t>CONTRATADA</t>
    </r>
    <r>
      <rPr>
        <sz val="9"/>
        <color theme="1"/>
        <rFont val="Arial"/>
        <family val="2"/>
      </rPr>
      <t xml:space="preserve"> e fazem jus ao recebimento dos valores a eles atribuídos.
</t>
    </r>
    <r>
      <rPr>
        <b/>
        <sz val="9"/>
        <color theme="1"/>
        <rFont val="Arial"/>
        <family val="2"/>
      </rPr>
      <t>CLÁUSULA TERCEIRA</t>
    </r>
    <r>
      <rPr>
        <sz val="9"/>
        <color theme="1"/>
        <rFont val="Arial"/>
        <family val="2"/>
      </rPr>
      <t xml:space="preserve"> – Sendo feito o pagamento na forma parcelada da taxa de intermediação imobiliária, considera-se estipulado o prazo máximo de tolerância de 3 (três) dias corridos da data que a devida parcela mensal vencer. Caso qualquer um dos pagamentos estiverem em atraso por mais de </t>
    </r>
    <r>
      <rPr>
        <b/>
        <sz val="9"/>
        <color theme="1"/>
        <rFont val="Arial"/>
        <family val="2"/>
      </rPr>
      <t>10 (dez) dias</t>
    </r>
    <r>
      <rPr>
        <sz val="9"/>
        <color theme="1"/>
        <rFont val="Arial"/>
        <family val="2"/>
      </rPr>
      <t xml:space="preserve">, sem necessidade de prévia notificação, o presente termo será executado no valor total inadimplente – independente de existência de parcelas vencidas, sendo consideradas todas as futuras como vencidas de forma antecipada.
</t>
    </r>
    <r>
      <rPr>
        <b/>
        <sz val="9"/>
        <color theme="1"/>
        <rFont val="Arial"/>
        <family val="2"/>
      </rPr>
      <t>PARÁGRAFO PRIMEIRO</t>
    </r>
    <r>
      <rPr>
        <sz val="9"/>
        <color theme="1"/>
        <rFont val="Arial"/>
        <family val="2"/>
      </rPr>
      <t xml:space="preserve">: Caso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realizem os pagamentos parcelados por boletos bancários, desde já anuem a emissão das duplicatas virtuais.
</t>
    </r>
    <r>
      <rPr>
        <b/>
        <sz val="9"/>
        <color theme="1"/>
        <rFont val="Arial"/>
        <family val="2"/>
      </rPr>
      <t>PARÁGRAFO SEGUNDO</t>
    </r>
    <r>
      <rPr>
        <sz val="9"/>
        <color theme="1"/>
        <rFont val="Arial"/>
        <family val="2"/>
      </rPr>
      <t xml:space="preserve">: Desde já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ficam ciente(s) que, </t>
    </r>
    <r>
      <rPr>
        <b/>
        <sz val="9"/>
        <color theme="1"/>
        <rFont val="Arial"/>
        <family val="2"/>
      </rPr>
      <t>após o 10º (décimo) dia de atraso</t>
    </r>
    <r>
      <rPr>
        <sz val="9"/>
        <color theme="1"/>
        <rFont val="Arial"/>
        <family val="2"/>
      </rPr>
      <t xml:space="preserve">, estará(ão) sujeito(s) à negativação do presente débito junto ao SPC/SERASA – sem a necessidade de prévia notificação, além das medidas judiciais que forem pertinentes a qualquer tempo.
</t>
    </r>
    <r>
      <rPr>
        <b/>
        <sz val="9"/>
        <color theme="1"/>
        <rFont val="Arial"/>
        <family val="2"/>
      </rPr>
      <t>CLÁUSULA QUARTA</t>
    </r>
    <r>
      <rPr>
        <sz val="9"/>
        <color theme="1"/>
        <rFont val="Arial"/>
        <family val="2"/>
      </rPr>
      <t xml:space="preserve"> –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reconhece(m), expressamente, que os serviços de intermediação ora contratados são oriundos de uma relação comercial entre este(s) o(s)</t>
    </r>
    <r>
      <rPr>
        <b/>
        <sz val="9"/>
        <color theme="1"/>
        <rFont val="Arial"/>
        <family val="2"/>
      </rPr>
      <t xml:space="preserve"> CONTRATANTE(S)</t>
    </r>
    <r>
      <rPr>
        <sz val="9"/>
        <color theme="1"/>
        <rFont val="Arial"/>
        <family val="2"/>
      </rPr>
      <t xml:space="preserve"> e a </t>
    </r>
    <r>
      <rPr>
        <b/>
        <sz val="9"/>
        <color theme="1"/>
        <rFont val="Arial"/>
        <family val="2"/>
      </rPr>
      <t>CONTRATADA</t>
    </r>
    <r>
      <rPr>
        <sz val="9"/>
        <color theme="1"/>
        <rFont val="Arial"/>
        <family val="2"/>
      </rPr>
      <t xml:space="preserve">, não cabendo a empresa responsável pelo empreendimento interferir por qualquer questão no presente contrato.
</t>
    </r>
    <r>
      <rPr>
        <b/>
        <sz val="9"/>
        <color theme="1"/>
        <rFont val="Arial"/>
        <family val="2"/>
      </rPr>
      <t>CLÁUSULA QUINTA</t>
    </r>
    <r>
      <rPr>
        <sz val="9"/>
        <color theme="1"/>
        <rFont val="Arial"/>
        <family val="2"/>
      </rPr>
      <t xml:space="preserve"> –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reconhece(m), expressamente, que </t>
    </r>
    <r>
      <rPr>
        <b/>
        <sz val="9"/>
        <color theme="1"/>
        <rFont val="Arial"/>
        <family val="2"/>
      </rPr>
      <t>por se tratarem de serviços já prestados pela CONTRATADA</t>
    </r>
    <r>
      <rPr>
        <sz val="9"/>
        <color theme="1"/>
        <rFont val="Arial"/>
        <family val="2"/>
      </rPr>
      <t xml:space="preserve"> na forma e condições da cláusula segunda, e de acordo com sua própria característica, </t>
    </r>
    <r>
      <rPr>
        <b/>
        <sz val="9"/>
        <color theme="1"/>
        <rFont val="Arial"/>
        <family val="2"/>
      </rPr>
      <t>não são passíveis de impugnação a qualquer título</t>
    </r>
    <r>
      <rPr>
        <sz val="9"/>
        <color theme="1"/>
        <rFont val="Arial"/>
        <family val="2"/>
      </rPr>
      <t xml:space="preserve"> e muito menos sujeitos a qualquer devolução, </t>
    </r>
    <r>
      <rPr>
        <b/>
        <sz val="9"/>
        <color theme="1"/>
        <rFont val="Arial"/>
        <family val="2"/>
      </rPr>
      <t>tendo como termo irrevogável e irretratável</t>
    </r>
    <r>
      <rPr>
        <sz val="9"/>
        <color theme="1"/>
        <rFont val="Arial"/>
        <family val="2"/>
      </rPr>
      <t xml:space="preserve">.
</t>
    </r>
    <r>
      <rPr>
        <b/>
        <sz val="9"/>
        <color theme="1"/>
        <rFont val="Arial"/>
        <family val="2"/>
      </rPr>
      <t>PARÁGRAFO ÚNICO</t>
    </r>
    <r>
      <rPr>
        <sz val="9"/>
        <color theme="1"/>
        <rFont val="Arial"/>
        <family val="2"/>
      </rPr>
      <t xml:space="preserve">: Caso o(s) CONTRATANTE(S) efetive(m) a rescisão do CONTRATO PARTICULAR DE PROMESSA DE COMPRA E VENDA DA UNIDADE IMOBILIÁRIA junto a empresa responsável pelo empreendimento, </t>
    </r>
    <r>
      <rPr>
        <b/>
        <sz val="9"/>
        <color theme="1"/>
        <rFont val="Arial"/>
        <family val="2"/>
      </rPr>
      <t>a remuneração da corretagem continua sendo devida – nos termos do artigo 725 do Código Civil.</t>
    </r>
    <r>
      <rPr>
        <sz val="9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CLÁUSULA SEXTA</t>
    </r>
    <r>
      <rPr>
        <sz val="9"/>
        <color theme="1"/>
        <rFont val="Arial"/>
        <family val="2"/>
      </rPr>
      <t xml:space="preserve"> – Caso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não efetue(m) o pagamento da(s) parcela(s) referente à taxa de intermediação conforme estipulado na Cláusula Segunda – parágrafo único, serão acrescidos, correção monetária sob índice INPC-IBGE pro rata,  multa de 10% e juros de 1% ao mês, bem como, honorários advocatícios na forma seguinte:
</t>
    </r>
    <r>
      <rPr>
        <b/>
        <sz val="9"/>
        <color theme="1"/>
        <rFont val="Arial"/>
        <family val="2"/>
      </rPr>
      <t>PARÁGRAFO ÚNICO</t>
    </r>
    <r>
      <rPr>
        <sz val="9"/>
        <color theme="1"/>
        <rFont val="Arial"/>
        <family val="2"/>
      </rPr>
      <t xml:space="preserve">: A base de 20% (vinte por cento) sobre o valor total do débito apurado em caso de propositura de medidas judiciais necessárias.
</t>
    </r>
    <r>
      <rPr>
        <b/>
        <sz val="9"/>
        <color theme="1"/>
        <rFont val="Arial"/>
        <family val="2"/>
      </rPr>
      <t>CLÁUSULA SÉTIMA</t>
    </r>
    <r>
      <rPr>
        <sz val="9"/>
        <color theme="1"/>
        <rFont val="Arial"/>
        <family val="2"/>
      </rPr>
      <t xml:space="preserve"> – O presente contrato é celebrado por mútuas e recíprocas vontades na condição expressa de irrevogabilidade e irretratabilidade, obrigando as partes e seus herdeiros e sucessores a qualquer título.</t>
    </r>
  </si>
  <si>
    <r>
      <rPr>
        <b/>
        <sz val="9"/>
        <color theme="1"/>
        <rFont val="Arial"/>
        <family val="2"/>
      </rPr>
      <t>PARÁGRAFO PRIMEIRO:</t>
    </r>
    <r>
      <rPr>
        <sz val="9"/>
        <color theme="1"/>
        <rFont val="Arial"/>
        <family val="2"/>
      </rPr>
      <t xml:space="preserve"> O(s) </t>
    </r>
    <r>
      <rPr>
        <b/>
        <sz val="9"/>
        <color theme="1"/>
        <rFont val="Arial"/>
        <family val="2"/>
      </rPr>
      <t>CONTRATANTE(S)</t>
    </r>
    <r>
      <rPr>
        <sz val="9"/>
        <color theme="1"/>
        <rFont val="Arial"/>
        <family val="2"/>
      </rPr>
      <t xml:space="preserve"> deverá(ão) efetuar(em) o(s) pagamento(s) da(s) seguinte(s) forma(s):</t>
    </r>
  </si>
  <si>
    <r>
      <t>Assina(m) o presente</t>
    </r>
    <r>
      <rPr>
        <b/>
        <sz val="9"/>
        <color rgb="FF000000"/>
        <rFont val="Arial"/>
        <family val="2"/>
      </rPr>
      <t xml:space="preserve"> INSTRUMENTO PARTICULAR DE INTERMEDIAÇÃO DO CONTRATO PARTICULAR DE PROMESSA DE COMPRA E VENDA DE UNIDADE IMOBILIÁRIA</t>
    </r>
    <r>
      <rPr>
        <sz val="9"/>
        <color rgb="FF000000"/>
        <rFont val="Arial"/>
        <family val="2"/>
      </rPr>
      <t xml:space="preserve">, que reger-se-á pelas cláusulas e condições que mutuamente outorgam, aceitam e se obrigam a cumprir e respeitar, por si, seus herdeiros e sucessores, na forma da Lei, a contratação dos serviços profissionais da </t>
    </r>
    <r>
      <rPr>
        <b/>
        <sz val="9"/>
        <color rgb="FF000000"/>
        <rFont val="Arial"/>
        <family val="2"/>
      </rPr>
      <t>CONTRATADA</t>
    </r>
    <r>
      <rPr>
        <sz val="9"/>
        <color rgb="FF000000"/>
        <rFont val="Arial"/>
        <family val="2"/>
      </rPr>
      <t xml:space="preserve"> para a aquisição da unidade abaixo descrita, regendo-se nos seguintes termos:
</t>
    </r>
    <r>
      <rPr>
        <b/>
        <sz val="9"/>
        <color rgb="FF000000"/>
        <rFont val="Arial"/>
        <family val="2"/>
      </rPr>
      <t>CLÁUSULA PRIMEIRA</t>
    </r>
    <r>
      <rPr>
        <sz val="9"/>
        <color rgb="FF000000"/>
        <rFont val="Arial"/>
        <family val="2"/>
      </rPr>
      <t xml:space="preserve"> – O(s) </t>
    </r>
    <r>
      <rPr>
        <b/>
        <sz val="9"/>
        <color rgb="FF000000"/>
        <rFont val="Arial"/>
        <family val="2"/>
      </rPr>
      <t>CONTRATANTE(S)</t>
    </r>
    <r>
      <rPr>
        <sz val="9"/>
        <color rgb="FF000000"/>
        <rFont val="Arial"/>
        <family val="2"/>
      </rPr>
      <t xml:space="preserve"> por intermédio da </t>
    </r>
    <r>
      <rPr>
        <b/>
        <sz val="9"/>
        <color rgb="FF000000"/>
        <rFont val="Arial"/>
        <family val="2"/>
      </rPr>
      <t>CONTRATADA</t>
    </r>
    <r>
      <rPr>
        <sz val="9"/>
        <color rgb="FF000000"/>
        <rFont val="Arial"/>
        <family val="2"/>
      </rPr>
      <t xml:space="preserve">, promete(m) adquirir o seguinte:
</t>
    </r>
  </si>
  <si>
    <t>2ª TESTEMUNHA</t>
  </si>
  <si>
    <t>1ª TESTEMUNHA</t>
  </si>
  <si>
    <t>CLIENTE COMPRADOR</t>
  </si>
  <si>
    <t>MÊS DE REFERÊNCIA</t>
  </si>
  <si>
    <t>X</t>
  </si>
  <si>
    <t>UNIDADE - TORRE  QD - LT</t>
  </si>
  <si>
    <t>VALOR DA VENDA - VGV</t>
  </si>
  <si>
    <t>COMISSAO</t>
  </si>
  <si>
    <t>TOTAL DA INTERMEDIACAO</t>
  </si>
  <si>
    <t>FORMA DE PAGAMENTO</t>
  </si>
  <si>
    <t>VALOR</t>
  </si>
  <si>
    <t>VENCIMENTO</t>
  </si>
  <si>
    <t>(%)
COMISSÃO</t>
  </si>
  <si>
    <t>R$ COMISSAO</t>
  </si>
  <si>
    <t>DIRETORIA AG</t>
  </si>
  <si>
    <t xml:space="preserve">TOTAL </t>
  </si>
  <si>
    <t xml:space="preserve">CORRETOR </t>
  </si>
  <si>
    <t>LANCAMENTO</t>
  </si>
  <si>
    <t>PREMIACAO</t>
  </si>
  <si>
    <t>SANDRI GARCIA OLIVEIRA</t>
  </si>
  <si>
    <t>RICARDO AUGUSTO</t>
  </si>
  <si>
    <t>ELDORADO BROKER GESTAO MOBILIÁRIA LTDA</t>
  </si>
  <si>
    <t>AG ELDORADO</t>
  </si>
  <si>
    <t xml:space="preserve">        |   | CÔNJUGE</t>
  </si>
  <si>
    <t xml:space="preserve"> </t>
  </si>
  <si>
    <r>
      <t xml:space="preserve">   1º CONTRATANTE                         2º CONTRATANTE                </t>
    </r>
    <r>
      <rPr>
        <b/>
        <sz val="9"/>
        <color theme="1"/>
        <rFont val="Arial"/>
        <family val="2"/>
      </rPr>
      <t xml:space="preserve">          ELDORADO BROKER GESTAO MOBILIÁRIA LTDA</t>
    </r>
  </si>
  <si>
    <t xml:space="preserve">   1º CONTRATANTE                        2º CONTRATANTE                         ELDORADO BROKER GESTAO MOBILIÁRIA LTDA</t>
  </si>
  <si>
    <t>CONTRATADA (ELDORADO BROKER GESTAO MOBILIÁRIA LTDA)</t>
  </si>
  <si>
    <r>
      <t xml:space="preserve">Entre partes, de um lado na qualidade de </t>
    </r>
    <r>
      <rPr>
        <b/>
        <sz val="9"/>
        <color rgb="FF000000"/>
        <rFont val="Arial"/>
        <family val="2"/>
      </rPr>
      <t>INTERMEDIADORA</t>
    </r>
    <r>
      <rPr>
        <sz val="9"/>
        <color rgb="FF000000"/>
        <rFont val="Arial"/>
        <family val="2"/>
      </rPr>
      <t xml:space="preserve">, doravante designado como </t>
    </r>
    <r>
      <rPr>
        <b/>
        <sz val="9"/>
        <color rgb="FF000000"/>
        <rFont val="Arial"/>
        <family val="2"/>
      </rPr>
      <t>CONTRATADA: ELDORADO BROKER GESTÃO IMOBILIÁRIA LTDA</t>
    </r>
    <r>
      <rPr>
        <sz val="9"/>
        <color rgb="FF000000"/>
        <rFont val="Arial"/>
        <family val="2"/>
      </rPr>
      <t xml:space="preserve"> pessoa jurídica de direito privado, inscrita no CNPJ sob nº 41.756.564/0001-36, com sede na Avenida Milão, 1359, Qd. CP O5, Lt. 19/20, Sl. 1,2,3, Setor Residencial Celina Park Goiânia /GO, CEP: 74.367-635, e de outro lado, na qualidade de:</t>
    </r>
  </si>
  <si>
    <t>Fone: (62) 3998-1086                                                                                      Avenida Milão, 1359, Qd. CP O5, Lt. 19/20, Sl. 1,2,3, Setor Residencial Celina Park Goiânia /GO, CEP: 74.367-635                                                                                                                                                                                                                                                       CJ.29886                                                                                www.mybrokerimoveis.com.br</t>
  </si>
  <si>
    <t xml:space="preserve"> FORMULÁRIO DE VENDA AG ELDORADO</t>
  </si>
  <si>
    <t>1- Esta proposta será analisada pelo VENDEDOR/CONSTRUTORA que poderá recusá-la, ainda que imotivamente.</t>
  </si>
  <si>
    <t>2- A concessão do financiamento está sujeira a análise junto às agências de prestação de crédito (não podem existir restrições em nome do PROPONENTE), ao pagamento pontual (ou seja, sem atrasos em nenhuma parcela) e cumprimento da condição de pagamento descrita nesta proposta.</t>
  </si>
  <si>
    <t>3- Em caso de recusa dessa proposta, ou em caso de devolução do(s) cheque(s) de sinal, essa proposta perderá qualquer eficácia juridica, ficando o bem totalmente liberado para a comercialização.</t>
  </si>
  <si>
    <t xml:space="preserve">ATUALIZAÇÃO MONETÁRIA </t>
  </si>
  <si>
    <t>1- A partir desta data até o mês da liberação do ´HABITE-SE` pela municipalidade, os valores serão reajustados pelo INCC (índice Nacional de Construção Civil) publicado pela Fundação Getúlio Vargas.</t>
  </si>
  <si>
    <t xml:space="preserve">DADOS DA INTERMEDIAÇÃO </t>
  </si>
  <si>
    <t>PROPOSTA DE COMPRA DE IMÓVEL</t>
  </si>
  <si>
    <t>2- A partir do 1º (primeiro) dia do mês posterior à expedição do `HABITE-SE` até a quitação final, os valores serão reajustados mensalmente pelo IGP-M (Indice geral de Preço de Mercado), divulgado pela Fundação Getúlio Vargas, acrescido de juros de 1% (um por cento) ao mês, calculado pelo Sistema Price de Amortização.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</si>
</sst>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000&quot;.&quot;000&quot;.&quot;000&quot;-&quot;00"/>
    <numFmt numFmtId="169" formatCode="00000&quot;-&quot;000"/>
    <numFmt numFmtId="170" formatCode="00&quot; &quot;0000&quot;-&quot;0000"/>
    <numFmt numFmtId="171" formatCode="00&quot; &quot;00000&quot;-&quot;0000"/>
    <numFmt numFmtId="172" formatCode="&quot;R$&quot;\ #,##0.00"/>
    <numFmt numFmtId="173" formatCode="00"/>
    <numFmt numFmtId="174" formatCode="_-[$R$-416]\ * #,##0.00_-;\-[$R$-416]\ * #,##0.00_-;_-[$R$-416]\ * &quot;-&quot;??_-;_-@"/>
    <numFmt numFmtId="175" formatCode="_(&quot;R$ &quot;* #,##0.00_);_(&quot;R$ &quot;* \(#,##0.00\);_(&quot;R$ &quot;* \-??_);_(@_)"/>
    <numFmt numFmtId="176" formatCode="_-* #,##0.00_-;\-* #,##0.00_-;_-* &quot;-&quot;??_-;_-@"/>
    <numFmt numFmtId="177" formatCode="dd/mm/yy"/>
    <numFmt numFmtId="178" formatCode="&quot;R$&quot;#,##0.00"/>
    <numFmt numFmtId="179" formatCode="\(00\)\ 00000\-0000"/>
  </numFmts>
  <fonts count="60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3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u/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3"/>
      <color theme="1"/>
      <name val="Arial"/>
      <family val="2"/>
    </font>
    <font>
      <b/>
      <i/>
      <sz val="13"/>
      <color rgb="FF366092"/>
      <name val="Arial"/>
      <family val="2"/>
    </font>
    <font>
      <sz val="10"/>
      <color theme="1"/>
      <name val="Calibri"/>
      <family val="2"/>
    </font>
    <font>
      <b/>
      <i/>
      <sz val="14"/>
      <color rgb="FF366092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b/>
      <sz val="12"/>
      <color rgb="FF000000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b/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entury Gothic"/>
      <family val="2"/>
    </font>
    <font>
      <sz val="9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7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theme="1"/>
      <name val="Times New Roman"/>
      <family val="1"/>
    </font>
    <font>
      <sz val="10"/>
      <color rgb="FF00000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CB9CA"/>
        <bgColor rgb="FFACB9CA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6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7"/>
    <xf numFmtId="44" fontId="1" fillId="0" borderId="7" applyFont="0" applyFill="0" applyBorder="0" applyAlignment="0" applyProtection="0"/>
    <xf numFmtId="9" fontId="1" fillId="0" borderId="7" applyFont="0" applyFill="0" applyBorder="0" applyAlignment="0" applyProtection="0"/>
    <xf numFmtId="43" fontId="56" fillId="0" borderId="0" applyFont="0" applyFill="0" applyBorder="0" applyAlignment="0" applyProtection="0"/>
    <xf numFmtId="0" fontId="58" fillId="0" borderId="0" applyNumberFormat="0" applyFill="0" applyBorder="0" applyAlignment="0" applyProtection="0"/>
  </cellStyleXfs>
  <cellXfs count="406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167" fontId="7" fillId="4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7" fontId="7" fillId="6" borderId="3" xfId="0" applyNumberFormat="1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76" fontId="0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vertical="center"/>
    </xf>
    <xf numFmtId="175" fontId="20" fillId="6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shrinkToFit="1"/>
    </xf>
    <xf numFmtId="175" fontId="7" fillId="0" borderId="3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shrinkToFit="1"/>
    </xf>
    <xf numFmtId="0" fontId="13" fillId="2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shrinkToFit="1"/>
    </xf>
    <xf numFmtId="0" fontId="3" fillId="0" borderId="0" xfId="0" applyFont="1" applyAlignment="1">
      <alignment horizontal="left" wrapText="1"/>
    </xf>
    <xf numFmtId="0" fontId="0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20" xfId="0" applyFont="1" applyBorder="1"/>
    <xf numFmtId="0" fontId="24" fillId="0" borderId="21" xfId="0" applyFont="1" applyBorder="1" applyAlignment="1">
      <alignment horizontal="center"/>
    </xf>
    <xf numFmtId="0" fontId="24" fillId="0" borderId="22" xfId="0" applyFont="1" applyBorder="1"/>
    <xf numFmtId="0" fontId="24" fillId="0" borderId="23" xfId="0" applyFont="1" applyBorder="1" applyAlignment="1">
      <alignment horizontal="center"/>
    </xf>
    <xf numFmtId="0" fontId="24" fillId="0" borderId="16" xfId="0" applyFont="1" applyBorder="1"/>
    <xf numFmtId="0" fontId="24" fillId="0" borderId="24" xfId="0" applyFont="1" applyBorder="1" applyAlignment="1">
      <alignment horizontal="center"/>
    </xf>
    <xf numFmtId="0" fontId="2" fillId="0" borderId="0" xfId="0" applyFont="1"/>
    <xf numFmtId="0" fontId="11" fillId="0" borderId="3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174" fontId="14" fillId="0" borderId="3" xfId="0" applyNumberFormat="1" applyFont="1" applyBorder="1" applyAlignment="1" applyProtection="1">
      <alignment horizontal="center" vertical="center" wrapText="1"/>
      <protection locked="0"/>
    </xf>
    <xf numFmtId="10" fontId="17" fillId="5" borderId="3" xfId="0" applyNumberFormat="1" applyFont="1" applyFill="1" applyBorder="1" applyAlignment="1" applyProtection="1">
      <alignment horizontal="right" vertical="center" wrapText="1"/>
    </xf>
    <xf numFmtId="175" fontId="14" fillId="0" borderId="3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/>
    <xf numFmtId="175" fontId="14" fillId="6" borderId="3" xfId="0" applyNumberFormat="1" applyFont="1" applyFill="1" applyBorder="1" applyAlignment="1" applyProtection="1">
      <alignment horizontal="center" vertical="center" wrapText="1"/>
      <protection locked="0"/>
    </xf>
    <xf numFmtId="175" fontId="16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7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right" vertical="center" wrapText="1"/>
    </xf>
    <xf numFmtId="175" fontId="7" fillId="3" borderId="7" xfId="0" applyNumberFormat="1" applyFont="1" applyFill="1" applyBorder="1" applyAlignment="1">
      <alignment horizontal="center" vertical="center" wrapText="1"/>
    </xf>
    <xf numFmtId="175" fontId="21" fillId="0" borderId="7" xfId="0" applyNumberFormat="1" applyFont="1" applyBorder="1" applyAlignment="1">
      <alignment vertical="center" wrapText="1"/>
    </xf>
    <xf numFmtId="0" fontId="28" fillId="0" borderId="0" xfId="0" applyFont="1" applyFill="1"/>
    <xf numFmtId="0" fontId="30" fillId="0" borderId="0" xfId="0" applyFont="1"/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vertical="center" wrapText="1"/>
    </xf>
    <xf numFmtId="0" fontId="37" fillId="0" borderId="0" xfId="0" applyFont="1" applyAlignment="1">
      <alignment vertical="center"/>
    </xf>
    <xf numFmtId="0" fontId="32" fillId="0" borderId="0" xfId="0" applyFont="1" applyAlignment="1"/>
    <xf numFmtId="0" fontId="30" fillId="0" borderId="0" xfId="0" applyFont="1" applyAlignment="1">
      <alignment horizontal="center" vertical="center"/>
    </xf>
    <xf numFmtId="0" fontId="30" fillId="0" borderId="7" xfId="0" applyFont="1" applyBorder="1"/>
    <xf numFmtId="0" fontId="31" fillId="0" borderId="0" xfId="0" applyFont="1" applyAlignment="1">
      <alignment horizontal="center"/>
    </xf>
    <xf numFmtId="0" fontId="30" fillId="0" borderId="9" xfId="0" applyFont="1" applyBorder="1"/>
    <xf numFmtId="0" fontId="30" fillId="0" borderId="5" xfId="0" applyFont="1" applyBorder="1"/>
    <xf numFmtId="0" fontId="31" fillId="0" borderId="4" xfId="0" applyFont="1" applyBorder="1" applyAlignment="1">
      <alignment vertical="center" wrapText="1"/>
    </xf>
    <xf numFmtId="0" fontId="36" fillId="0" borderId="7" xfId="0" applyFont="1" applyBorder="1" applyAlignment="1" applyProtection="1">
      <alignment horizontal="center" vertical="center" wrapText="1"/>
    </xf>
    <xf numFmtId="0" fontId="34" fillId="0" borderId="7" xfId="0" applyFont="1" applyBorder="1" applyProtection="1"/>
    <xf numFmtId="175" fontId="36" fillId="0" borderId="7" xfId="0" applyNumberFormat="1" applyFont="1" applyBorder="1" applyAlignment="1" applyProtection="1">
      <alignment horizontal="left" vertical="center" wrapText="1"/>
    </xf>
    <xf numFmtId="175" fontId="20" fillId="6" borderId="3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Alignment="1"/>
    <xf numFmtId="0" fontId="32" fillId="0" borderId="0" xfId="0" applyFont="1" applyAlignment="1"/>
    <xf numFmtId="0" fontId="31" fillId="0" borderId="12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right" vertical="center" wrapText="1"/>
    </xf>
    <xf numFmtId="0" fontId="2" fillId="0" borderId="0" xfId="0" applyFont="1" applyFill="1"/>
    <xf numFmtId="0" fontId="0" fillId="0" borderId="0" xfId="0" applyFont="1" applyFill="1" applyAlignment="1"/>
    <xf numFmtId="0" fontId="36" fillId="0" borderId="7" xfId="0" applyFont="1" applyFill="1" applyBorder="1" applyAlignment="1" applyProtection="1">
      <alignment horizontal="left" vertical="center" wrapText="1"/>
      <protection locked="0"/>
    </xf>
    <xf numFmtId="0" fontId="35" fillId="0" borderId="7" xfId="0" applyFont="1" applyBorder="1" applyAlignment="1">
      <alignment horizontal="justify" vertical="justify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horizontal="left" wrapText="1"/>
    </xf>
    <xf numFmtId="0" fontId="33" fillId="7" borderId="28" xfId="0" applyFont="1" applyFill="1" applyBorder="1" applyAlignment="1">
      <alignment vertical="center"/>
    </xf>
    <xf numFmtId="3" fontId="33" fillId="0" borderId="28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vertical="center"/>
    </xf>
    <xf numFmtId="0" fontId="30" fillId="0" borderId="28" xfId="0" applyFont="1" applyBorder="1"/>
    <xf numFmtId="3" fontId="33" fillId="0" borderId="28" xfId="0" applyNumberFormat="1" applyFont="1" applyBorder="1" applyAlignment="1" applyProtection="1">
      <alignment horizontal="center" vertical="center"/>
      <protection locked="0"/>
    </xf>
    <xf numFmtId="0" fontId="4" fillId="0" borderId="14" xfId="0" applyFont="1" applyBorder="1"/>
    <xf numFmtId="0" fontId="7" fillId="3" borderId="7" xfId="0" applyFont="1" applyFill="1" applyBorder="1" applyAlignment="1">
      <alignment horizontal="center" vertical="center" wrapText="1"/>
    </xf>
    <xf numFmtId="167" fontId="7" fillId="4" borderId="35" xfId="0" applyNumberFormat="1" applyFont="1" applyFill="1" applyBorder="1" applyAlignment="1">
      <alignment horizontal="left" vertical="center" wrapText="1"/>
    </xf>
    <xf numFmtId="167" fontId="8" fillId="4" borderId="35" xfId="0" applyNumberFormat="1" applyFont="1" applyFill="1" applyBorder="1" applyAlignment="1">
      <alignment horizontal="left" vertical="top" wrapText="1"/>
    </xf>
    <xf numFmtId="167" fontId="7" fillId="4" borderId="35" xfId="0" applyNumberFormat="1" applyFont="1" applyFill="1" applyBorder="1" applyAlignment="1">
      <alignment horizontal="left" wrapText="1"/>
    </xf>
    <xf numFmtId="167" fontId="7" fillId="6" borderId="35" xfId="0" applyNumberFormat="1" applyFont="1" applyFill="1" applyBorder="1" applyAlignment="1">
      <alignment horizontal="left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73" fontId="14" fillId="0" borderId="35" xfId="0" applyNumberFormat="1" applyFont="1" applyBorder="1" applyAlignment="1" applyProtection="1">
      <alignment horizontal="center" vertical="center" wrapText="1"/>
      <protection locked="0"/>
    </xf>
    <xf numFmtId="0" fontId="14" fillId="5" borderId="3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vertical="center" wrapText="1"/>
    </xf>
    <xf numFmtId="0" fontId="7" fillId="3" borderId="33" xfId="0" applyFont="1" applyFill="1" applyBorder="1" applyAlignment="1">
      <alignment vertical="center" wrapText="1"/>
    </xf>
    <xf numFmtId="0" fontId="4" fillId="0" borderId="7" xfId="0" applyFont="1" applyBorder="1" applyAlignment="1"/>
    <xf numFmtId="0" fontId="22" fillId="0" borderId="35" xfId="0" applyFont="1" applyBorder="1" applyAlignment="1">
      <alignment horizontal="center" vertical="center" wrapText="1"/>
    </xf>
    <xf numFmtId="175" fontId="7" fillId="0" borderId="35" xfId="0" applyNumberFormat="1" applyFont="1" applyBorder="1" applyAlignment="1">
      <alignment horizontal="left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1" fillId="5" borderId="37" xfId="0" applyFont="1" applyFill="1" applyBorder="1" applyAlignment="1" applyProtection="1">
      <alignment horizontal="center" vertical="center" wrapText="1"/>
      <protection locked="0"/>
    </xf>
    <xf numFmtId="14" fontId="11" fillId="0" borderId="8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vertical="center"/>
    </xf>
    <xf numFmtId="0" fontId="42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0" fontId="42" fillId="0" borderId="0" xfId="0" applyFont="1" applyAlignment="1"/>
    <xf numFmtId="0" fontId="33" fillId="0" borderId="7" xfId="0" applyFont="1" applyFill="1" applyBorder="1" applyAlignment="1" applyProtection="1">
      <alignment horizontal="center" vertical="center" wrapText="1"/>
    </xf>
    <xf numFmtId="0" fontId="34" fillId="0" borderId="7" xfId="0" applyFont="1" applyFill="1" applyBorder="1" applyAlignment="1" applyProtection="1"/>
    <xf numFmtId="0" fontId="36" fillId="0" borderId="51" xfId="0" applyFont="1" applyFill="1" applyBorder="1" applyAlignment="1" applyProtection="1">
      <alignment horizontal="left" vertical="center" wrapText="1"/>
      <protection locked="0"/>
    </xf>
    <xf numFmtId="0" fontId="36" fillId="0" borderId="52" xfId="0" applyFont="1" applyFill="1" applyBorder="1" applyAlignment="1" applyProtection="1">
      <alignment horizontal="left" vertical="center" wrapText="1"/>
      <protection locked="0"/>
    </xf>
    <xf numFmtId="0" fontId="33" fillId="0" borderId="56" xfId="0" applyFont="1" applyFill="1" applyBorder="1" applyAlignment="1" applyProtection="1">
      <alignment horizontal="center" vertical="center" wrapText="1"/>
    </xf>
    <xf numFmtId="0" fontId="45" fillId="0" borderId="7" xfId="3" applyFont="1" applyAlignment="1">
      <alignment horizontal="left" vertical="center"/>
    </xf>
    <xf numFmtId="0" fontId="1" fillId="0" borderId="7" xfId="3"/>
    <xf numFmtId="0" fontId="40" fillId="0" borderId="48" xfId="3" applyFont="1" applyBorder="1"/>
    <xf numFmtId="0" fontId="40" fillId="0" borderId="7" xfId="3" applyFont="1" applyAlignment="1">
      <alignment horizontal="center"/>
    </xf>
    <xf numFmtId="0" fontId="40" fillId="0" borderId="51" xfId="3" applyFont="1" applyBorder="1"/>
    <xf numFmtId="0" fontId="40" fillId="0" borderId="52" xfId="3" applyFont="1" applyBorder="1"/>
    <xf numFmtId="49" fontId="40" fillId="0" borderId="7" xfId="3" applyNumberFormat="1" applyFont="1" applyAlignment="1">
      <alignment horizontal="center"/>
    </xf>
    <xf numFmtId="0" fontId="46" fillId="0" borderId="7" xfId="3" applyFont="1" applyAlignment="1">
      <alignment horizontal="center" vertical="center"/>
    </xf>
    <xf numFmtId="0" fontId="1" fillId="0" borderId="59" xfId="3" applyBorder="1"/>
    <xf numFmtId="0" fontId="1" fillId="0" borderId="7" xfId="3" applyAlignment="1">
      <alignment horizontal="center"/>
    </xf>
    <xf numFmtId="0" fontId="47" fillId="0" borderId="65" xfId="3" applyFont="1" applyBorder="1" applyAlignment="1">
      <alignment vertical="center"/>
    </xf>
    <xf numFmtId="0" fontId="48" fillId="0" borderId="7" xfId="3" applyFont="1" applyAlignment="1">
      <alignment horizontal="left" vertical="center" wrapText="1"/>
    </xf>
    <xf numFmtId="0" fontId="47" fillId="0" borderId="67" xfId="3" applyFont="1" applyBorder="1" applyAlignment="1">
      <alignment vertical="center" wrapText="1"/>
    </xf>
    <xf numFmtId="0" fontId="47" fillId="0" borderId="67" xfId="3" applyFont="1" applyBorder="1" applyAlignment="1">
      <alignment vertical="center"/>
    </xf>
    <xf numFmtId="14" fontId="48" fillId="0" borderId="7" xfId="3" applyNumberFormat="1" applyFont="1" applyAlignment="1">
      <alignment horizontal="left" vertical="center" wrapText="1"/>
    </xf>
    <xf numFmtId="44" fontId="48" fillId="0" borderId="7" xfId="4" applyFont="1" applyFill="1" applyBorder="1" applyAlignment="1">
      <alignment horizontal="left" vertical="center" wrapText="1"/>
    </xf>
    <xf numFmtId="0" fontId="47" fillId="0" borderId="69" xfId="3" applyFont="1" applyBorder="1" applyAlignment="1">
      <alignment vertical="center"/>
    </xf>
    <xf numFmtId="0" fontId="47" fillId="0" borderId="7" xfId="3" applyFont="1" applyAlignment="1">
      <alignment vertical="center"/>
    </xf>
    <xf numFmtId="44" fontId="48" fillId="0" borderId="7" xfId="3" applyNumberFormat="1" applyFont="1" applyAlignment="1">
      <alignment horizontal="left" vertical="center" wrapText="1"/>
    </xf>
    <xf numFmtId="0" fontId="49" fillId="9" borderId="7" xfId="3" applyFont="1" applyFill="1" applyAlignment="1">
      <alignment horizontal="left" vertical="center"/>
    </xf>
    <xf numFmtId="0" fontId="46" fillId="0" borderId="48" xfId="3" applyFont="1" applyBorder="1" applyAlignment="1">
      <alignment horizontal="center" vertical="center"/>
    </xf>
    <xf numFmtId="0" fontId="40" fillId="0" borderId="49" xfId="3" applyFont="1" applyBorder="1" applyAlignment="1">
      <alignment horizontal="center" vertical="center"/>
    </xf>
    <xf numFmtId="0" fontId="40" fillId="0" borderId="50" xfId="3" applyFont="1" applyBorder="1" applyAlignment="1">
      <alignment horizontal="center" vertical="center"/>
    </xf>
    <xf numFmtId="165" fontId="1" fillId="0" borderId="7" xfId="3" applyNumberFormat="1"/>
    <xf numFmtId="0" fontId="47" fillId="0" borderId="51" xfId="3" applyFont="1" applyBorder="1" applyAlignment="1">
      <alignment vertical="center"/>
    </xf>
    <xf numFmtId="0" fontId="40" fillId="0" borderId="28" xfId="3" applyFont="1" applyBorder="1" applyAlignment="1">
      <alignment horizontal="center" vertical="center"/>
    </xf>
    <xf numFmtId="0" fontId="40" fillId="0" borderId="28" xfId="3" applyFont="1" applyBorder="1" applyAlignment="1">
      <alignment vertical="center"/>
    </xf>
    <xf numFmtId="0" fontId="40" fillId="0" borderId="40" xfId="3" applyFont="1" applyBorder="1" applyAlignment="1">
      <alignment vertical="center"/>
    </xf>
    <xf numFmtId="44" fontId="48" fillId="0" borderId="28" xfId="4" applyFont="1" applyFill="1" applyBorder="1" applyAlignment="1">
      <alignment horizontal="left" vertical="center" wrapText="1"/>
    </xf>
    <xf numFmtId="0" fontId="47" fillId="0" borderId="52" xfId="3" applyFont="1" applyBorder="1" applyAlignment="1">
      <alignment vertical="center" wrapText="1"/>
    </xf>
    <xf numFmtId="14" fontId="48" fillId="0" borderId="46" xfId="3" applyNumberFormat="1" applyFont="1" applyBorder="1" applyAlignment="1">
      <alignment horizontal="center" vertical="center" wrapText="1"/>
    </xf>
    <xf numFmtId="165" fontId="39" fillId="9" borderId="7" xfId="3" applyNumberFormat="1" applyFont="1" applyFill="1" applyAlignment="1">
      <alignment vertical="center"/>
    </xf>
    <xf numFmtId="0" fontId="50" fillId="0" borderId="7" xfId="3" applyFont="1" applyAlignment="1">
      <alignment vertical="center" wrapText="1"/>
    </xf>
    <xf numFmtId="0" fontId="47" fillId="0" borderId="7" xfId="3" applyFont="1" applyAlignment="1">
      <alignment vertical="center" wrapText="1"/>
    </xf>
    <xf numFmtId="0" fontId="28" fillId="0" borderId="71" xfId="3" applyFont="1" applyBorder="1" applyAlignment="1">
      <alignment vertical="top" wrapText="1"/>
    </xf>
    <xf numFmtId="0" fontId="51" fillId="0" borderId="72" xfId="3" applyFont="1" applyBorder="1" applyAlignment="1">
      <alignment horizontal="center" vertical="center" wrapText="1"/>
    </xf>
    <xf numFmtId="0" fontId="51" fillId="0" borderId="73" xfId="3" applyFont="1" applyBorder="1" applyAlignment="1">
      <alignment horizontal="center" vertical="center" wrapText="1"/>
    </xf>
    <xf numFmtId="0" fontId="51" fillId="0" borderId="74" xfId="3" applyFont="1" applyBorder="1" applyAlignment="1">
      <alignment horizontal="center" vertical="center" wrapText="1"/>
    </xf>
    <xf numFmtId="0" fontId="52" fillId="0" borderId="48" xfId="3" applyFont="1" applyBorder="1" applyAlignment="1">
      <alignment vertical="center" wrapText="1"/>
    </xf>
    <xf numFmtId="10" fontId="52" fillId="0" borderId="49" xfId="5" applyNumberFormat="1" applyFont="1" applyFill="1" applyBorder="1" applyAlignment="1">
      <alignment horizontal="center" vertical="center" wrapText="1"/>
    </xf>
    <xf numFmtId="44" fontId="53" fillId="0" borderId="49" xfId="4" applyFont="1" applyFill="1" applyBorder="1" applyAlignment="1">
      <alignment horizontal="left" vertical="center" wrapText="1"/>
    </xf>
    <xf numFmtId="0" fontId="52" fillId="0" borderId="51" xfId="3" applyFont="1" applyBorder="1" applyAlignment="1">
      <alignment vertical="center" wrapText="1"/>
    </xf>
    <xf numFmtId="10" fontId="52" fillId="0" borderId="28" xfId="5" applyNumberFormat="1" applyFont="1" applyFill="1" applyBorder="1" applyAlignment="1">
      <alignment horizontal="center" vertical="center" wrapText="1"/>
    </xf>
    <xf numFmtId="44" fontId="53" fillId="0" borderId="28" xfId="4" applyFont="1" applyFill="1" applyBorder="1" applyAlignment="1">
      <alignment horizontal="left" vertical="center" wrapText="1"/>
    </xf>
    <xf numFmtId="0" fontId="52" fillId="0" borderId="52" xfId="3" applyFont="1" applyBorder="1" applyAlignment="1">
      <alignment vertical="center" wrapText="1"/>
    </xf>
    <xf numFmtId="10" fontId="52" fillId="0" borderId="46" xfId="5" applyNumberFormat="1" applyFont="1" applyFill="1" applyBorder="1" applyAlignment="1">
      <alignment horizontal="center" vertical="center" wrapText="1"/>
    </xf>
    <xf numFmtId="44" fontId="53" fillId="0" borderId="46" xfId="4" applyFont="1" applyFill="1" applyBorder="1" applyAlignment="1">
      <alignment horizontal="left" vertical="center" wrapText="1"/>
    </xf>
    <xf numFmtId="10" fontId="38" fillId="0" borderId="76" xfId="3" applyNumberFormat="1" applyFont="1" applyBorder="1" applyAlignment="1">
      <alignment horizontal="center" vertical="center" wrapText="1"/>
    </xf>
    <xf numFmtId="44" fontId="54" fillId="0" borderId="76" xfId="4" applyFont="1" applyFill="1" applyBorder="1" applyAlignment="1">
      <alignment horizontal="left" vertical="center" wrapText="1"/>
    </xf>
    <xf numFmtId="0" fontId="40" fillId="0" borderId="7" xfId="3" applyFont="1"/>
    <xf numFmtId="0" fontId="40" fillId="0" borderId="60" xfId="3" applyFont="1" applyBorder="1"/>
    <xf numFmtId="0" fontId="47" fillId="0" borderId="77" xfId="3" applyFont="1" applyBorder="1" applyAlignment="1">
      <alignment vertical="center"/>
    </xf>
    <xf numFmtId="166" fontId="53" fillId="0" borderId="49" xfId="1" applyFont="1" applyFill="1" applyBorder="1" applyAlignment="1">
      <alignment horizontal="left" vertical="center" wrapText="1"/>
    </xf>
    <xf numFmtId="166" fontId="53" fillId="0" borderId="28" xfId="1" applyFont="1" applyFill="1" applyBorder="1" applyAlignment="1">
      <alignment horizontal="left" vertical="center" wrapText="1"/>
    </xf>
    <xf numFmtId="166" fontId="53" fillId="0" borderId="46" xfId="1" applyFont="1" applyFill="1" applyBorder="1" applyAlignment="1">
      <alignment horizontal="left" vertical="center" wrapText="1"/>
    </xf>
    <xf numFmtId="9" fontId="36" fillId="0" borderId="28" xfId="2" applyFont="1" applyBorder="1" applyAlignment="1" applyProtection="1">
      <alignment horizontal="center" vertical="center"/>
      <protection locked="0"/>
    </xf>
    <xf numFmtId="0" fontId="55" fillId="0" borderId="0" xfId="0" applyFont="1" applyAlignment="1">
      <alignment vertical="center"/>
    </xf>
    <xf numFmtId="0" fontId="31" fillId="0" borderId="0" xfId="0" applyFont="1"/>
    <xf numFmtId="0" fontId="12" fillId="0" borderId="0" xfId="0" applyFont="1"/>
    <xf numFmtId="0" fontId="47" fillId="0" borderId="0" xfId="0" applyFont="1" applyAlignment="1"/>
    <xf numFmtId="14" fontId="14" fillId="0" borderId="3" xfId="0" applyNumberFormat="1" applyFont="1" applyBorder="1" applyAlignment="1" applyProtection="1">
      <alignment horizontal="center" vertical="center" wrapText="1"/>
      <protection locked="0"/>
    </xf>
    <xf numFmtId="0" fontId="36" fillId="0" borderId="53" xfId="0" applyFont="1" applyFill="1" applyBorder="1" applyAlignment="1" applyProtection="1">
      <alignment horizontal="center" vertical="center" wrapText="1"/>
      <protection locked="0"/>
    </xf>
    <xf numFmtId="0" fontId="7" fillId="5" borderId="3" xfId="0" applyFont="1" applyFill="1" applyBorder="1" applyAlignment="1" applyProtection="1">
      <alignment horizontal="left" vertical="center" wrapText="1"/>
      <protection locked="0"/>
    </xf>
    <xf numFmtId="14" fontId="40" fillId="0" borderId="46" xfId="3" applyNumberFormat="1" applyFont="1" applyBorder="1" applyAlignment="1">
      <alignment vertical="center"/>
    </xf>
    <xf numFmtId="4" fontId="40" fillId="0" borderId="28" xfId="3" applyNumberFormat="1" applyFont="1" applyBorder="1" applyAlignment="1">
      <alignment vertical="center"/>
    </xf>
    <xf numFmtId="10" fontId="36" fillId="0" borderId="28" xfId="2" applyNumberFormat="1" applyFont="1" applyBorder="1" applyAlignment="1" applyProtection="1">
      <alignment horizontal="center" vertical="center"/>
      <protection locked="0"/>
    </xf>
    <xf numFmtId="0" fontId="59" fillId="9" borderId="7" xfId="3" applyFont="1" applyFill="1" applyAlignment="1">
      <alignment horizontal="left" vertical="center"/>
    </xf>
    <xf numFmtId="14" fontId="40" fillId="0" borderId="47" xfId="3" applyNumberFormat="1" applyFont="1" applyBorder="1" applyAlignment="1">
      <alignment vertical="center"/>
    </xf>
    <xf numFmtId="44" fontId="8" fillId="0" borderId="28" xfId="4" applyFont="1" applyFill="1" applyBorder="1" applyAlignment="1">
      <alignment horizontal="left" vertical="center" wrapText="1"/>
    </xf>
    <xf numFmtId="166" fontId="0" fillId="0" borderId="28" xfId="1" applyFont="1" applyBorder="1" applyAlignment="1"/>
    <xf numFmtId="0" fontId="4" fillId="0" borderId="26" xfId="0" applyFont="1" applyBorder="1"/>
    <xf numFmtId="0" fontId="4" fillId="0" borderId="38" xfId="0" applyFont="1" applyBorder="1"/>
    <xf numFmtId="0" fontId="11" fillId="0" borderId="25" xfId="0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 vertical="center" wrapText="1"/>
    </xf>
    <xf numFmtId="4" fontId="40" fillId="0" borderId="40" xfId="3" applyNumberFormat="1" applyFont="1" applyBorder="1" applyAlignment="1">
      <alignment vertical="center"/>
    </xf>
    <xf numFmtId="0" fontId="3" fillId="0" borderId="30" xfId="0" applyFont="1" applyBorder="1" applyAlignment="1">
      <alignment vertical="center" wrapText="1"/>
    </xf>
    <xf numFmtId="0" fontId="4" fillId="0" borderId="31" xfId="0" applyFont="1" applyBorder="1" applyAlignment="1"/>
    <xf numFmtId="0" fontId="13" fillId="2" borderId="3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2" fillId="0" borderId="33" xfId="0" applyFont="1" applyBorder="1" applyAlignment="1">
      <alignment horizontal="left" vertical="center" wrapText="1"/>
    </xf>
    <xf numFmtId="0" fontId="0" fillId="0" borderId="7" xfId="0" applyFont="1" applyBorder="1" applyAlignment="1"/>
    <xf numFmtId="0" fontId="4" fillId="0" borderId="34" xfId="0" applyFont="1" applyBorder="1"/>
    <xf numFmtId="0" fontId="27" fillId="0" borderId="33" xfId="0" applyFont="1" applyBorder="1" applyAlignment="1">
      <alignment horizontal="left" vertical="center" wrapText="1"/>
    </xf>
    <xf numFmtId="0" fontId="3" fillId="5" borderId="4" xfId="0" applyFont="1" applyFill="1" applyBorder="1" applyAlignment="1" applyProtection="1">
      <alignment horizontal="left" vertical="center" wrapText="1"/>
      <protection locked="0"/>
    </xf>
    <xf numFmtId="0" fontId="4" fillId="0" borderId="6" xfId="0" applyFont="1" applyBorder="1" applyProtection="1">
      <protection locked="0"/>
    </xf>
    <xf numFmtId="167" fontId="3" fillId="0" borderId="4" xfId="0" applyNumberFormat="1" applyFont="1" applyBorder="1" applyAlignment="1" applyProtection="1">
      <alignment horizontal="left" vertical="center" wrapText="1"/>
      <protection locked="0"/>
    </xf>
    <xf numFmtId="167" fontId="3" fillId="5" borderId="4" xfId="0" applyNumberFormat="1" applyFont="1" applyFill="1" applyBorder="1" applyAlignment="1" applyProtection="1">
      <alignment horizontal="left" vertical="center" wrapText="1"/>
      <protection locked="0"/>
    </xf>
    <xf numFmtId="167" fontId="41" fillId="0" borderId="33" xfId="0" applyNumberFormat="1" applyFont="1" applyBorder="1" applyAlignment="1">
      <alignment horizontal="left" vertical="center" wrapText="1"/>
    </xf>
    <xf numFmtId="0" fontId="42" fillId="0" borderId="7" xfId="0" applyFont="1" applyBorder="1" applyAlignment="1"/>
    <xf numFmtId="0" fontId="43" fillId="0" borderId="34" xfId="0" applyFont="1" applyBorder="1"/>
    <xf numFmtId="0" fontId="11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Protection="1">
      <protection locked="0"/>
    </xf>
    <xf numFmtId="0" fontId="7" fillId="6" borderId="4" xfId="0" applyFont="1" applyFill="1" applyBorder="1" applyAlignment="1">
      <alignment horizontal="left" vertical="center" wrapText="1"/>
    </xf>
    <xf numFmtId="0" fontId="4" fillId="0" borderId="6" xfId="0" applyFont="1" applyBorder="1"/>
    <xf numFmtId="172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6" xfId="0" applyFont="1" applyBorder="1" applyProtection="1">
      <protection locked="0"/>
    </xf>
    <xf numFmtId="0" fontId="10" fillId="0" borderId="33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12" fillId="5" borderId="33" xfId="0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38" xfId="0" applyFont="1" applyBorder="1"/>
    <xf numFmtId="0" fontId="2" fillId="0" borderId="4" xfId="0" applyFont="1" applyBorder="1" applyAlignment="1" applyProtection="1">
      <alignment horizontal="center" vertical="center" wrapText="1"/>
      <protection locked="0"/>
    </xf>
    <xf numFmtId="177" fontId="15" fillId="5" borderId="39" xfId="0" applyNumberFormat="1" applyFont="1" applyFill="1" applyBorder="1" applyAlignment="1">
      <alignment horizontal="right" vertical="center" wrapText="1"/>
    </xf>
    <xf numFmtId="177" fontId="15" fillId="5" borderId="5" xfId="0" applyNumberFormat="1" applyFont="1" applyFill="1" applyBorder="1" applyAlignment="1">
      <alignment horizontal="right" vertical="center" wrapText="1"/>
    </xf>
    <xf numFmtId="177" fontId="15" fillId="5" borderId="6" xfId="0" applyNumberFormat="1" applyFont="1" applyFill="1" applyBorder="1" applyAlignment="1">
      <alignment horizontal="right" vertical="center" wrapText="1"/>
    </xf>
    <xf numFmtId="177" fontId="15" fillId="0" borderId="4" xfId="0" applyNumberFormat="1" applyFont="1" applyBorder="1" applyAlignment="1">
      <alignment horizontal="right" vertical="center" wrapText="1"/>
    </xf>
    <xf numFmtId="0" fontId="19" fillId="0" borderId="4" xfId="0" applyFont="1" applyBorder="1" applyAlignment="1">
      <alignment horizontal="right" vertical="center" wrapText="1"/>
    </xf>
    <xf numFmtId="0" fontId="4" fillId="0" borderId="5" xfId="0" applyFont="1" applyBorder="1"/>
    <xf numFmtId="0" fontId="14" fillId="5" borderId="7" xfId="0" applyFont="1" applyFill="1" applyBorder="1" applyAlignment="1">
      <alignment vertical="center" wrapText="1"/>
    </xf>
    <xf numFmtId="0" fontId="18" fillId="0" borderId="33" xfId="0" applyFont="1" applyBorder="1"/>
    <xf numFmtId="0" fontId="15" fillId="3" borderId="7" xfId="0" applyFont="1" applyFill="1" applyBorder="1" applyAlignment="1">
      <alignment horizontal="center" wrapText="1"/>
    </xf>
    <xf numFmtId="0" fontId="7" fillId="3" borderId="33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29" fillId="5" borderId="6" xfId="0" applyFont="1" applyFill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left" wrapText="1"/>
      <protection locked="0"/>
    </xf>
    <xf numFmtId="0" fontId="0" fillId="0" borderId="7" xfId="0" applyFont="1" applyBorder="1" applyAlignment="1" applyProtection="1">
      <protection locked="0"/>
    </xf>
    <xf numFmtId="0" fontId="4" fillId="0" borderId="33" xfId="0" applyFont="1" applyBorder="1" applyProtection="1">
      <protection locked="0"/>
    </xf>
    <xf numFmtId="0" fontId="4" fillId="0" borderId="44" xfId="0" applyFont="1" applyBorder="1" applyProtection="1">
      <protection locked="0"/>
    </xf>
    <xf numFmtId="0" fontId="4" fillId="0" borderId="45" xfId="0" applyFont="1" applyBorder="1" applyProtection="1">
      <protection locked="0"/>
    </xf>
    <xf numFmtId="0" fontId="3" fillId="0" borderId="28" xfId="0" applyFont="1" applyBorder="1" applyAlignment="1" applyProtection="1">
      <alignment horizontal="left" wrapText="1"/>
      <protection locked="0"/>
    </xf>
    <xf numFmtId="0" fontId="4" fillId="0" borderId="28" xfId="0" applyFont="1" applyBorder="1" applyProtection="1">
      <protection locked="0"/>
    </xf>
    <xf numFmtId="0" fontId="4" fillId="0" borderId="40" xfId="0" applyFont="1" applyBorder="1" applyProtection="1">
      <protection locked="0"/>
    </xf>
    <xf numFmtId="0" fontId="0" fillId="0" borderId="28" xfId="0" applyFont="1" applyBorder="1" applyAlignment="1" applyProtection="1">
      <protection locked="0"/>
    </xf>
    <xf numFmtId="0" fontId="4" fillId="0" borderId="46" xfId="0" applyFont="1" applyBorder="1" applyProtection="1">
      <protection locked="0"/>
    </xf>
    <xf numFmtId="0" fontId="4" fillId="0" borderId="47" xfId="0" applyFont="1" applyBorder="1" applyProtection="1"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42" xfId="0" applyFont="1" applyBorder="1"/>
    <xf numFmtId="0" fontId="3" fillId="0" borderId="10" xfId="0" applyFont="1" applyBorder="1" applyAlignment="1" applyProtection="1">
      <alignment horizontal="left" wrapText="1"/>
      <protection locked="0"/>
    </xf>
    <xf numFmtId="0" fontId="4" fillId="0" borderId="34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6" fillId="2" borderId="43" xfId="0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3" fillId="3" borderId="31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4" fillId="0" borderId="32" xfId="0" applyFont="1" applyBorder="1"/>
    <xf numFmtId="0" fontId="3" fillId="3" borderId="33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3" fillId="6" borderId="4" xfId="0" applyFont="1" applyFill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>
      <alignment horizontal="right" vertical="center" wrapText="1"/>
    </xf>
    <xf numFmtId="49" fontId="21" fillId="0" borderId="28" xfId="0" applyNumberFormat="1" applyFont="1" applyBorder="1" applyAlignment="1" applyProtection="1">
      <alignment horizontal="center" vertical="center" wrapText="1"/>
      <protection locked="0"/>
    </xf>
    <xf numFmtId="49" fontId="21" fillId="0" borderId="40" xfId="0" applyNumberFormat="1" applyFont="1" applyBorder="1" applyAlignment="1" applyProtection="1">
      <alignment horizontal="center" vertical="center" wrapText="1"/>
      <protection locked="0"/>
    </xf>
    <xf numFmtId="0" fontId="15" fillId="5" borderId="4" xfId="0" applyFont="1" applyFill="1" applyBorder="1" applyAlignment="1" applyProtection="1">
      <alignment horizontal="left" vertical="center" wrapText="1"/>
    </xf>
    <xf numFmtId="0" fontId="4" fillId="0" borderId="5" xfId="0" applyFont="1" applyBorder="1" applyProtection="1"/>
    <xf numFmtId="0" fontId="4" fillId="0" borderId="36" xfId="0" applyFont="1" applyBorder="1" applyProtection="1"/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168" fontId="3" fillId="0" borderId="4" xfId="0" applyNumberFormat="1" applyFont="1" applyBorder="1" applyAlignment="1" applyProtection="1">
      <alignment horizontal="left" vertical="center" wrapText="1"/>
      <protection locked="0"/>
    </xf>
    <xf numFmtId="169" fontId="3" fillId="0" borderId="4" xfId="0" applyNumberFormat="1" applyFont="1" applyBorder="1" applyAlignment="1" applyProtection="1">
      <alignment horizontal="left" vertical="center" wrapText="1"/>
      <protection locked="0"/>
    </xf>
    <xf numFmtId="170" fontId="3" fillId="5" borderId="4" xfId="0" applyNumberFormat="1" applyFont="1" applyFill="1" applyBorder="1" applyAlignment="1" applyProtection="1">
      <alignment horizontal="left" vertical="center" wrapText="1"/>
      <protection locked="0"/>
    </xf>
    <xf numFmtId="171" fontId="58" fillId="0" borderId="4" xfId="7" applyNumberFormat="1" applyBorder="1" applyAlignment="1" applyProtection="1">
      <alignment horizontal="left" vertical="center" wrapText="1"/>
      <protection locked="0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3" fillId="3" borderId="33" xfId="0" applyFont="1" applyFill="1" applyBorder="1" applyAlignment="1" applyProtection="1">
      <alignment horizontal="center" vertical="center" wrapText="1"/>
    </xf>
    <xf numFmtId="0" fontId="4" fillId="0" borderId="7" xfId="0" applyFont="1" applyBorder="1" applyProtection="1"/>
    <xf numFmtId="0" fontId="4" fillId="0" borderId="34" xfId="0" applyFont="1" applyBorder="1" applyProtection="1"/>
    <xf numFmtId="0" fontId="7" fillId="3" borderId="33" xfId="0" applyFont="1" applyFill="1" applyBorder="1" applyAlignment="1" applyProtection="1">
      <alignment horizontal="left" vertical="center" wrapText="1"/>
      <protection locked="0"/>
    </xf>
    <xf numFmtId="0" fontId="7" fillId="3" borderId="7" xfId="0" applyFont="1" applyFill="1" applyBorder="1" applyAlignment="1" applyProtection="1">
      <alignment vertical="center"/>
      <protection locked="0"/>
    </xf>
    <xf numFmtId="0" fontId="7" fillId="0" borderId="33" xfId="0" applyFont="1" applyBorder="1" applyAlignment="1" applyProtection="1">
      <alignment horizontal="center" vertical="center" wrapText="1"/>
    </xf>
    <xf numFmtId="0" fontId="0" fillId="0" borderId="7" xfId="0" applyFont="1" applyBorder="1" applyAlignment="1" applyProtection="1"/>
    <xf numFmtId="171" fontId="3" fillId="0" borderId="4" xfId="0" applyNumberFormat="1" applyFont="1" applyBorder="1" applyAlignment="1" applyProtection="1">
      <alignment horizontal="left" vertical="center" wrapText="1"/>
      <protection locked="0"/>
    </xf>
    <xf numFmtId="167" fontId="9" fillId="0" borderId="4" xfId="0" applyNumberFormat="1" applyFont="1" applyBorder="1" applyAlignment="1" applyProtection="1">
      <alignment horizontal="left" vertical="center" wrapText="1"/>
      <protection locked="0"/>
    </xf>
    <xf numFmtId="0" fontId="33" fillId="0" borderId="57" xfId="0" applyFont="1" applyFill="1" applyBorder="1" applyAlignment="1" applyProtection="1">
      <alignment horizontal="center" vertical="center" wrapText="1"/>
    </xf>
    <xf numFmtId="0" fontId="33" fillId="0" borderId="58" xfId="0" applyFont="1" applyFill="1" applyBorder="1" applyAlignment="1" applyProtection="1">
      <alignment horizontal="center" vertical="center" wrapText="1"/>
    </xf>
    <xf numFmtId="14" fontId="36" fillId="0" borderId="54" xfId="0" applyNumberFormat="1" applyFont="1" applyFill="1" applyBorder="1" applyAlignment="1" applyProtection="1">
      <alignment horizontal="center" vertical="center" wrapText="1"/>
      <protection locked="0"/>
    </xf>
    <xf numFmtId="14" fontId="36" fillId="0" borderId="55" xfId="0" applyNumberFormat="1" applyFont="1" applyFill="1" applyBorder="1" applyAlignment="1" applyProtection="1">
      <alignment horizontal="center" vertical="center" wrapText="1"/>
      <protection locked="0"/>
    </xf>
    <xf numFmtId="14" fontId="36" fillId="0" borderId="28" xfId="0" applyNumberFormat="1" applyFont="1" applyFill="1" applyBorder="1" applyAlignment="1" applyProtection="1">
      <alignment horizontal="center" vertical="center" wrapText="1"/>
      <protection locked="0"/>
    </xf>
    <xf numFmtId="14" fontId="36" fillId="0" borderId="40" xfId="0" applyNumberFormat="1" applyFont="1" applyFill="1" applyBorder="1" applyAlignment="1" applyProtection="1">
      <alignment horizontal="center" vertical="center" wrapText="1"/>
      <protection locked="0"/>
    </xf>
    <xf numFmtId="166" fontId="36" fillId="0" borderId="54" xfId="1" applyFont="1" applyFill="1" applyBorder="1" applyAlignment="1" applyProtection="1">
      <alignment horizontal="center" vertical="center" wrapText="1"/>
      <protection locked="0"/>
    </xf>
    <xf numFmtId="0" fontId="36" fillId="0" borderId="54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7" xfId="0" applyFont="1" applyBorder="1" applyAlignment="1">
      <alignment horizontal="justify" vertical="top" wrapText="1"/>
    </xf>
    <xf numFmtId="0" fontId="30" fillId="0" borderId="7" xfId="0" applyFont="1" applyBorder="1" applyAlignment="1">
      <alignment horizontal="justify" wrapText="1"/>
    </xf>
    <xf numFmtId="0" fontId="30" fillId="0" borderId="13" xfId="0" applyFont="1" applyBorder="1" applyAlignment="1">
      <alignment horizontal="justify" wrapText="1"/>
    </xf>
    <xf numFmtId="0" fontId="30" fillId="0" borderId="14" xfId="0" applyFont="1" applyBorder="1" applyAlignment="1">
      <alignment horizontal="justify" wrapText="1"/>
    </xf>
    <xf numFmtId="0" fontId="30" fillId="0" borderId="15" xfId="0" applyFont="1" applyBorder="1" applyAlignment="1">
      <alignment horizontal="justify" wrapText="1"/>
    </xf>
    <xf numFmtId="0" fontId="30" fillId="0" borderId="10" xfId="0" applyFont="1" applyBorder="1" applyAlignment="1">
      <alignment horizontal="justify" wrapText="1"/>
    </xf>
    <xf numFmtId="0" fontId="30" fillId="0" borderId="11" xfId="0" applyFont="1" applyBorder="1" applyAlignment="1">
      <alignment horizontal="justify" wrapText="1"/>
    </xf>
    <xf numFmtId="178" fontId="29" fillId="0" borderId="10" xfId="1" applyNumberFormat="1" applyFont="1" applyBorder="1" applyAlignment="1">
      <alignment horizontal="center"/>
    </xf>
    <xf numFmtId="178" fontId="29" fillId="0" borderId="7" xfId="1" applyNumberFormat="1" applyFont="1" applyBorder="1" applyAlignment="1">
      <alignment horizontal="center"/>
    </xf>
    <xf numFmtId="49" fontId="38" fillId="0" borderId="7" xfId="1" applyNumberFormat="1" applyFont="1" applyBorder="1" applyAlignment="1">
      <alignment horizontal="center" wrapText="1"/>
    </xf>
    <xf numFmtId="49" fontId="38" fillId="0" borderId="11" xfId="1" applyNumberFormat="1" applyFont="1" applyBorder="1" applyAlignment="1">
      <alignment horizontal="center" wrapText="1"/>
    </xf>
    <xf numFmtId="0" fontId="33" fillId="0" borderId="28" xfId="0" applyFont="1" applyBorder="1" applyAlignment="1">
      <alignment horizontal="left" vertical="center"/>
    </xf>
    <xf numFmtId="0" fontId="34" fillId="0" borderId="28" xfId="0" applyFont="1" applyBorder="1"/>
    <xf numFmtId="49" fontId="33" fillId="0" borderId="28" xfId="0" applyNumberFormat="1" applyFont="1" applyBorder="1" applyAlignment="1">
      <alignment horizontal="left"/>
    </xf>
    <xf numFmtId="164" fontId="36" fillId="0" borderId="28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justify" vertical="justify"/>
    </xf>
    <xf numFmtId="0" fontId="33" fillId="7" borderId="28" xfId="0" applyFont="1" applyFill="1" applyBorder="1" applyAlignment="1">
      <alignment horizontal="center" vertical="center"/>
    </xf>
    <xf numFmtId="0" fontId="30" fillId="0" borderId="0" xfId="0" applyFont="1" applyAlignment="1">
      <alignment horizontal="justify" wrapText="1"/>
    </xf>
    <xf numFmtId="0" fontId="30" fillId="0" borderId="0" xfId="0" applyFont="1" applyAlignment="1">
      <alignment horizontal="justify" vertical="top" wrapText="1"/>
    </xf>
    <xf numFmtId="0" fontId="33" fillId="0" borderId="28" xfId="0" applyFont="1" applyBorder="1" applyAlignment="1" applyProtection="1">
      <alignment horizontal="left"/>
      <protection locked="0"/>
    </xf>
    <xf numFmtId="0" fontId="34" fillId="0" borderId="28" xfId="0" applyFont="1" applyBorder="1" applyProtection="1">
      <protection locked="0"/>
    </xf>
    <xf numFmtId="0" fontId="33" fillId="0" borderId="28" xfId="0" applyFont="1" applyBorder="1" applyAlignment="1" applyProtection="1">
      <alignment horizontal="left" vertical="center" wrapText="1"/>
      <protection locked="0"/>
    </xf>
    <xf numFmtId="0" fontId="33" fillId="0" borderId="28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/>
    </xf>
    <xf numFmtId="0" fontId="34" fillId="0" borderId="2" xfId="0" applyFont="1" applyBorder="1"/>
    <xf numFmtId="14" fontId="30" fillId="0" borderId="0" xfId="0" applyNumberFormat="1" applyFont="1" applyAlignment="1">
      <alignment horizontal="center" vertical="center"/>
    </xf>
    <xf numFmtId="0" fontId="32" fillId="0" borderId="0" xfId="0" applyFont="1" applyAlignment="1"/>
    <xf numFmtId="0" fontId="31" fillId="0" borderId="14" xfId="0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167" fontId="34" fillId="0" borderId="29" xfId="0" applyNumberFormat="1" applyFont="1" applyBorder="1" applyAlignment="1">
      <alignment horizontal="left"/>
    </xf>
    <xf numFmtId="0" fontId="34" fillId="0" borderId="29" xfId="0" applyFont="1" applyBorder="1" applyAlignment="1">
      <alignment horizontal="left"/>
    </xf>
    <xf numFmtId="0" fontId="31" fillId="0" borderId="0" xfId="0" applyFont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4" fillId="0" borderId="5" xfId="0" applyFont="1" applyBorder="1"/>
    <xf numFmtId="0" fontId="34" fillId="0" borderId="6" xfId="0" applyFont="1" applyBorder="1"/>
    <xf numFmtId="0" fontId="31" fillId="0" borderId="4" xfId="0" applyFont="1" applyBorder="1" applyAlignment="1">
      <alignment horizontal="left" vertical="center" wrapText="1"/>
    </xf>
    <xf numFmtId="179" fontId="31" fillId="0" borderId="4" xfId="0" applyNumberFormat="1" applyFont="1" applyBorder="1" applyAlignment="1">
      <alignment horizontal="left" vertical="center" wrapText="1"/>
    </xf>
    <xf numFmtId="167" fontId="31" fillId="0" borderId="4" xfId="0" applyNumberFormat="1" applyFont="1" applyBorder="1" applyAlignment="1">
      <alignment horizontal="left" vertical="top" wrapText="1"/>
    </xf>
    <xf numFmtId="167" fontId="31" fillId="0" borderId="5" xfId="0" applyNumberFormat="1" applyFont="1" applyBorder="1" applyAlignment="1">
      <alignment horizontal="left" vertical="top" wrapText="1"/>
    </xf>
    <xf numFmtId="167" fontId="31" fillId="0" borderId="6" xfId="0" applyNumberFormat="1" applyFont="1" applyBorder="1" applyAlignment="1">
      <alignment horizontal="left" vertical="top" wrapText="1"/>
    </xf>
    <xf numFmtId="0" fontId="57" fillId="0" borderId="4" xfId="0" applyFont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31" fillId="0" borderId="4" xfId="6" applyNumberFormat="1" applyFont="1" applyBorder="1" applyAlignment="1">
      <alignment horizontal="center" vertical="top" wrapText="1"/>
    </xf>
    <xf numFmtId="0" fontId="31" fillId="0" borderId="5" xfId="6" applyNumberFormat="1" applyFont="1" applyBorder="1" applyAlignment="1">
      <alignment horizontal="center" vertical="top" wrapText="1"/>
    </xf>
    <xf numFmtId="0" fontId="31" fillId="0" borderId="6" xfId="6" applyNumberFormat="1" applyFont="1" applyBorder="1" applyAlignment="1">
      <alignment horizontal="center" vertical="top" wrapText="1"/>
    </xf>
    <xf numFmtId="167" fontId="31" fillId="0" borderId="4" xfId="0" applyNumberFormat="1" applyFont="1" applyBorder="1" applyAlignment="1">
      <alignment horizontal="left" vertical="center"/>
    </xf>
    <xf numFmtId="167" fontId="31" fillId="0" borderId="5" xfId="0" applyNumberFormat="1" applyFont="1" applyBorder="1" applyAlignment="1">
      <alignment horizontal="left" vertical="center"/>
    </xf>
    <xf numFmtId="167" fontId="31" fillId="0" borderId="4" xfId="0" applyNumberFormat="1" applyFont="1" applyBorder="1" applyAlignment="1">
      <alignment horizontal="left" vertical="center" wrapText="1"/>
    </xf>
    <xf numFmtId="167" fontId="31" fillId="0" borderId="5" xfId="0" applyNumberFormat="1" applyFont="1" applyBorder="1" applyAlignment="1">
      <alignment horizontal="left" vertical="center" wrapText="1"/>
    </xf>
    <xf numFmtId="167" fontId="31" fillId="0" borderId="6" xfId="0" applyNumberFormat="1" applyFont="1" applyBorder="1" applyAlignment="1">
      <alignment horizontal="left" vertical="center" wrapText="1"/>
    </xf>
    <xf numFmtId="0" fontId="32" fillId="0" borderId="7" xfId="0" applyFont="1" applyBorder="1" applyAlignment="1">
      <alignment horizontal="justify" vertical="top" wrapText="1"/>
    </xf>
    <xf numFmtId="0" fontId="32" fillId="0" borderId="26" xfId="0" applyFont="1" applyBorder="1" applyAlignment="1">
      <alignment horizontal="justify" vertical="top" wrapText="1"/>
    </xf>
    <xf numFmtId="0" fontId="32" fillId="0" borderId="14" xfId="0" applyFont="1" applyBorder="1" applyAlignment="1">
      <alignment horizontal="justify" vertical="justify" wrapText="1"/>
    </xf>
    <xf numFmtId="0" fontId="32" fillId="0" borderId="7" xfId="0" applyFont="1" applyBorder="1" applyAlignment="1">
      <alignment horizontal="justify" vertical="justify" wrapText="1"/>
    </xf>
    <xf numFmtId="0" fontId="31" fillId="0" borderId="4" xfId="0" applyFont="1" applyBorder="1" applyAlignment="1">
      <alignment horizontal="left"/>
    </xf>
    <xf numFmtId="0" fontId="31" fillId="0" borderId="13" xfId="0" applyFont="1" applyBorder="1" applyAlignment="1">
      <alignment horizontal="left" vertical="center"/>
    </xf>
    <xf numFmtId="0" fontId="34" fillId="0" borderId="15" xfId="0" applyFont="1" applyBorder="1" applyAlignment="1">
      <alignment vertical="center"/>
    </xf>
    <xf numFmtId="164" fontId="31" fillId="0" borderId="13" xfId="0" applyNumberFormat="1" applyFont="1" applyBorder="1" applyAlignment="1">
      <alignment horizontal="left" vertical="center" wrapText="1"/>
    </xf>
    <xf numFmtId="0" fontId="34" fillId="0" borderId="15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33" fillId="7" borderId="25" xfId="0" applyFont="1" applyFill="1" applyBorder="1" applyAlignment="1">
      <alignment horizontal="center" vertical="center" wrapText="1"/>
    </xf>
    <xf numFmtId="0" fontId="34" fillId="0" borderId="26" xfId="0" applyFont="1" applyBorder="1"/>
    <xf numFmtId="0" fontId="34" fillId="0" borderId="27" xfId="0" applyFont="1" applyBorder="1"/>
    <xf numFmtId="0" fontId="30" fillId="8" borderId="4" xfId="0" applyFont="1" applyFill="1" applyBorder="1"/>
    <xf numFmtId="0" fontId="34" fillId="0" borderId="4" xfId="0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0" fontId="34" fillId="0" borderId="6" xfId="0" applyFont="1" applyBorder="1" applyAlignment="1">
      <alignment horizontal="left"/>
    </xf>
    <xf numFmtId="0" fontId="36" fillId="0" borderId="46" xfId="0" applyNumberFormat="1" applyFont="1" applyFill="1" applyBorder="1" applyAlignment="1" applyProtection="1">
      <alignment horizontal="center" vertical="center" wrapText="1"/>
      <protection locked="0"/>
    </xf>
    <xf numFmtId="166" fontId="36" fillId="0" borderId="46" xfId="1" applyFont="1" applyFill="1" applyBorder="1" applyAlignment="1" applyProtection="1">
      <alignment horizontal="center" vertical="center" wrapText="1"/>
      <protection locked="0"/>
    </xf>
    <xf numFmtId="14" fontId="36" fillId="0" borderId="46" xfId="0" applyNumberFormat="1" applyFont="1" applyFill="1" applyBorder="1" applyAlignment="1" applyProtection="1">
      <alignment horizontal="center" vertical="center" wrapText="1"/>
      <protection locked="0"/>
    </xf>
    <xf numFmtId="14" fontId="36" fillId="0" borderId="47" xfId="0" applyNumberFormat="1" applyFont="1" applyFill="1" applyBorder="1" applyAlignment="1" applyProtection="1">
      <alignment horizontal="center" vertical="center" wrapText="1"/>
      <protection locked="0"/>
    </xf>
    <xf numFmtId="166" fontId="36" fillId="0" borderId="28" xfId="1" applyFont="1" applyFill="1" applyBorder="1" applyAlignment="1" applyProtection="1">
      <alignment horizontal="center" vertical="center" wrapText="1"/>
      <protection locked="0"/>
    </xf>
    <xf numFmtId="0" fontId="48" fillId="0" borderId="68" xfId="3" applyFont="1" applyBorder="1" applyAlignment="1">
      <alignment horizontal="left" vertical="center" wrapText="1"/>
    </xf>
    <xf numFmtId="0" fontId="48" fillId="0" borderId="28" xfId="3" applyFont="1" applyBorder="1" applyAlignment="1">
      <alignment horizontal="left" vertical="center" wrapText="1"/>
    </xf>
    <xf numFmtId="0" fontId="48" fillId="0" borderId="40" xfId="3" applyFont="1" applyBorder="1" applyAlignment="1">
      <alignment horizontal="left" vertical="center" wrapText="1"/>
    </xf>
    <xf numFmtId="0" fontId="45" fillId="0" borderId="59" xfId="3" applyFont="1" applyBorder="1" applyAlignment="1">
      <alignment horizontal="left" vertical="center"/>
    </xf>
    <xf numFmtId="0" fontId="45" fillId="0" borderId="60" xfId="3" applyFont="1" applyBorder="1" applyAlignment="1">
      <alignment horizontal="left" vertical="center"/>
    </xf>
    <xf numFmtId="0" fontId="45" fillId="0" borderId="61" xfId="3" applyFont="1" applyBorder="1" applyAlignment="1">
      <alignment horizontal="left" vertical="center"/>
    </xf>
    <xf numFmtId="0" fontId="40" fillId="0" borderId="62" xfId="3" applyFont="1" applyBorder="1" applyAlignment="1">
      <alignment horizontal="center"/>
    </xf>
    <xf numFmtId="0" fontId="40" fillId="0" borderId="63" xfId="3" applyFont="1" applyBorder="1" applyAlignment="1">
      <alignment horizontal="center"/>
    </xf>
    <xf numFmtId="0" fontId="40" fillId="0" borderId="64" xfId="3" applyFont="1" applyBorder="1" applyAlignment="1">
      <alignment horizontal="center"/>
    </xf>
    <xf numFmtId="0" fontId="40" fillId="0" borderId="28" xfId="3" applyFont="1" applyBorder="1" applyAlignment="1">
      <alignment horizontal="center"/>
    </xf>
    <xf numFmtId="0" fontId="40" fillId="0" borderId="40" xfId="3" applyFont="1" applyBorder="1" applyAlignment="1">
      <alignment horizontal="center"/>
    </xf>
    <xf numFmtId="49" fontId="40" fillId="0" borderId="46" xfId="3" applyNumberFormat="1" applyFont="1" applyBorder="1" applyAlignment="1">
      <alignment horizontal="center"/>
    </xf>
    <xf numFmtId="49" fontId="40" fillId="0" borderId="47" xfId="3" applyNumberFormat="1" applyFont="1" applyBorder="1" applyAlignment="1">
      <alignment horizontal="center"/>
    </xf>
    <xf numFmtId="0" fontId="46" fillId="0" borderId="59" xfId="3" applyFont="1" applyBorder="1" applyAlignment="1">
      <alignment horizontal="center" vertical="center"/>
    </xf>
    <xf numFmtId="0" fontId="46" fillId="0" borderId="60" xfId="3" applyFont="1" applyBorder="1" applyAlignment="1">
      <alignment horizontal="center" vertical="center"/>
    </xf>
    <xf numFmtId="0" fontId="46" fillId="0" borderId="61" xfId="3" applyFont="1" applyBorder="1" applyAlignment="1">
      <alignment horizontal="center" vertical="center"/>
    </xf>
    <xf numFmtId="0" fontId="1" fillId="0" borderId="59" xfId="3" applyBorder="1" applyAlignment="1">
      <alignment horizontal="center"/>
    </xf>
    <xf numFmtId="0" fontId="1" fillId="0" borderId="60" xfId="3" applyBorder="1" applyAlignment="1">
      <alignment horizontal="center"/>
    </xf>
    <xf numFmtId="0" fontId="1" fillId="0" borderId="61" xfId="3" applyBorder="1" applyAlignment="1">
      <alignment horizontal="center"/>
    </xf>
    <xf numFmtId="0" fontId="48" fillId="0" borderId="66" xfId="3" applyFont="1" applyBorder="1" applyAlignment="1">
      <alignment horizontal="left" vertical="center" wrapText="1"/>
    </xf>
    <xf numFmtId="0" fontId="48" fillId="0" borderId="49" xfId="3" applyFont="1" applyBorder="1" applyAlignment="1">
      <alignment horizontal="left" vertical="center" wrapText="1"/>
    </xf>
    <xf numFmtId="0" fontId="48" fillId="0" borderId="50" xfId="3" applyFont="1" applyBorder="1" applyAlignment="1">
      <alignment horizontal="left" vertical="center" wrapText="1"/>
    </xf>
    <xf numFmtId="14" fontId="48" fillId="0" borderId="68" xfId="3" applyNumberFormat="1" applyFont="1" applyBorder="1" applyAlignment="1">
      <alignment horizontal="left" vertical="center" wrapText="1"/>
    </xf>
    <xf numFmtId="14" fontId="48" fillId="0" borderId="28" xfId="3" applyNumberFormat="1" applyFont="1" applyBorder="1" applyAlignment="1">
      <alignment horizontal="left" vertical="center" wrapText="1"/>
    </xf>
    <xf numFmtId="14" fontId="48" fillId="0" borderId="40" xfId="3" applyNumberFormat="1" applyFont="1" applyBorder="1" applyAlignment="1">
      <alignment horizontal="left" vertical="center" wrapText="1"/>
    </xf>
    <xf numFmtId="44" fontId="48" fillId="0" borderId="68" xfId="4" applyFont="1" applyFill="1" applyBorder="1" applyAlignment="1">
      <alignment horizontal="left" vertical="center" wrapText="1"/>
    </xf>
    <xf numFmtId="44" fontId="48" fillId="0" borderId="28" xfId="4" applyFont="1" applyFill="1" applyBorder="1" applyAlignment="1">
      <alignment horizontal="left" vertical="center" wrapText="1"/>
    </xf>
    <xf numFmtId="44" fontId="48" fillId="0" borderId="40" xfId="4" applyFont="1" applyFill="1" applyBorder="1" applyAlignment="1">
      <alignment horizontal="left" vertical="center" wrapText="1"/>
    </xf>
    <xf numFmtId="44" fontId="48" fillId="0" borderId="68" xfId="3" applyNumberFormat="1" applyFont="1" applyBorder="1" applyAlignment="1">
      <alignment horizontal="left" vertical="center" wrapText="1"/>
    </xf>
    <xf numFmtId="44" fontId="48" fillId="0" borderId="70" xfId="3" applyNumberFormat="1" applyFont="1" applyBorder="1" applyAlignment="1">
      <alignment horizontal="left" vertical="center" wrapText="1"/>
    </xf>
    <xf numFmtId="0" fontId="48" fillId="0" borderId="46" xfId="3" applyFont="1" applyBorder="1" applyAlignment="1">
      <alignment horizontal="left" vertical="center" wrapText="1"/>
    </xf>
    <xf numFmtId="0" fontId="48" fillId="0" borderId="47" xfId="3" applyFont="1" applyBorder="1" applyAlignment="1">
      <alignment horizontal="left" vertical="center" wrapText="1"/>
    </xf>
    <xf numFmtId="0" fontId="46" fillId="0" borderId="30" xfId="3" applyFont="1" applyBorder="1" applyAlignment="1">
      <alignment horizontal="center" vertical="center"/>
    </xf>
    <xf numFmtId="0" fontId="46" fillId="0" borderId="31" xfId="3" applyFont="1" applyBorder="1" applyAlignment="1">
      <alignment horizontal="center" vertical="center"/>
    </xf>
    <xf numFmtId="0" fontId="46" fillId="0" borderId="32" xfId="3" applyFont="1" applyBorder="1" applyAlignment="1">
      <alignment horizontal="center" vertical="center"/>
    </xf>
    <xf numFmtId="0" fontId="52" fillId="0" borderId="46" xfId="3" applyFont="1" applyBorder="1" applyAlignment="1">
      <alignment horizontal="center" vertical="center"/>
    </xf>
    <xf numFmtId="0" fontId="38" fillId="0" borderId="75" xfId="3" applyFont="1" applyBorder="1" applyAlignment="1">
      <alignment horizontal="center" vertical="center" wrapText="1"/>
    </xf>
    <xf numFmtId="0" fontId="38" fillId="0" borderId="76" xfId="3" applyFont="1" applyBorder="1" applyAlignment="1">
      <alignment horizontal="center" vertical="center" wrapText="1"/>
    </xf>
    <xf numFmtId="0" fontId="52" fillId="0" borderId="49" xfId="3" applyFont="1" applyBorder="1" applyAlignment="1">
      <alignment horizontal="center" vertical="center" wrapText="1"/>
    </xf>
    <xf numFmtId="0" fontId="52" fillId="0" borderId="28" xfId="3" applyFont="1" applyBorder="1" applyAlignment="1">
      <alignment horizontal="center" vertical="center" wrapText="1"/>
    </xf>
    <xf numFmtId="0" fontId="51" fillId="0" borderId="72" xfId="3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/>
    </xf>
    <xf numFmtId="0" fontId="4" fillId="0" borderId="19" xfId="0" applyFont="1" applyBorder="1"/>
    <xf numFmtId="0" fontId="25" fillId="0" borderId="17" xfId="0" applyFont="1" applyBorder="1" applyAlignment="1">
      <alignment horizontal="center"/>
    </xf>
    <xf numFmtId="0" fontId="4" fillId="0" borderId="18" xfId="0" applyFont="1" applyBorder="1"/>
  </cellXfs>
  <cellStyles count="8">
    <cellStyle name="Hiperlink" xfId="7" builtinId="8"/>
    <cellStyle name="Moeda" xfId="1" builtinId="4"/>
    <cellStyle name="Moeda 2" xfId="4" xr:uid="{00000000-0005-0000-0000-000002000000}"/>
    <cellStyle name="Normal" xfId="0" builtinId="0"/>
    <cellStyle name="Normal 2" xfId="3" xr:uid="{00000000-0005-0000-0000-000004000000}"/>
    <cellStyle name="Porcentagem" xfId="2" builtinId="5"/>
    <cellStyle name="Porcentagem 2" xfId="5" xr:uid="{00000000-0005-0000-0000-000006000000}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209550</xdr:rowOff>
    </xdr:from>
    <xdr:ext cx="3333750" cy="8572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49</xdr:row>
      <xdr:rowOff>9525</xdr:rowOff>
    </xdr:from>
    <xdr:ext cx="2619375" cy="590550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0175" y="8410575"/>
          <a:ext cx="26193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104</xdr:row>
      <xdr:rowOff>38100</xdr:rowOff>
    </xdr:from>
    <xdr:ext cx="2619375" cy="59055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0" y="17516475"/>
          <a:ext cx="26193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0</xdr:row>
      <xdr:rowOff>19050</xdr:rowOff>
    </xdr:from>
    <xdr:ext cx="2619375" cy="590550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0" y="19050"/>
          <a:ext cx="26193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0</xdr:row>
      <xdr:rowOff>0</xdr:rowOff>
    </xdr:from>
    <xdr:to>
      <xdr:col>5</xdr:col>
      <xdr:colOff>57151</xdr:colOff>
      <xdr:row>0</xdr:row>
      <xdr:rowOff>492124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326A8D-1C99-449C-81AF-68BAA7E2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0"/>
          <a:ext cx="1800226" cy="492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rgb="FF8DB3E2"/>
  </sheetPr>
  <dimension ref="A1:Z1002"/>
  <sheetViews>
    <sheetView showGridLines="0" tabSelected="1" view="pageBreakPreview" zoomScale="70" zoomScaleNormal="70" zoomScaleSheetLayoutView="70" workbookViewId="0">
      <selection activeCell="B4" sqref="B4:K4"/>
    </sheetView>
  </sheetViews>
  <sheetFormatPr baseColWidth="10" defaultColWidth="14.5" defaultRowHeight="15" customHeight="1"/>
  <cols>
    <col min="1" max="1" width="27.33203125" customWidth="1"/>
    <col min="2" max="2" width="30.5" customWidth="1"/>
    <col min="3" max="3" width="30.1640625" bestFit="1" customWidth="1"/>
    <col min="4" max="4" width="33.5" customWidth="1"/>
    <col min="5" max="5" width="25.33203125" customWidth="1"/>
    <col min="6" max="6" width="19.83203125" customWidth="1"/>
    <col min="7" max="7" width="20.6640625" customWidth="1"/>
    <col min="8" max="8" width="20.5" customWidth="1"/>
    <col min="9" max="9" width="5" customWidth="1"/>
    <col min="10" max="10" width="11.5" customWidth="1"/>
    <col min="11" max="11" width="1.5" customWidth="1"/>
    <col min="12" max="12" width="28.5" customWidth="1"/>
    <col min="13" max="13" width="46.83203125" hidden="1" customWidth="1"/>
    <col min="14" max="14" width="44.83203125" hidden="1" customWidth="1"/>
    <col min="15" max="20" width="9.1640625" customWidth="1"/>
    <col min="21" max="26" width="8.6640625" customWidth="1"/>
  </cols>
  <sheetData>
    <row r="1" spans="1:26" ht="99" customHeight="1">
      <c r="A1" s="180"/>
      <c r="B1" s="181"/>
      <c r="C1" s="254" t="s">
        <v>239</v>
      </c>
      <c r="D1" s="254"/>
      <c r="E1" s="254"/>
      <c r="F1" s="254"/>
      <c r="G1" s="250" t="s">
        <v>231</v>
      </c>
      <c r="H1" s="251"/>
      <c r="I1" s="251"/>
      <c r="J1" s="251"/>
      <c r="K1" s="252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03" t="s">
        <v>0</v>
      </c>
      <c r="B2" s="204"/>
      <c r="C2" s="204"/>
      <c r="D2" s="204"/>
      <c r="E2" s="204"/>
      <c r="F2" s="204"/>
      <c r="G2" s="204"/>
      <c r="H2" s="204"/>
      <c r="I2" s="204"/>
      <c r="J2" s="204"/>
      <c r="K2" s="187"/>
      <c r="L2" s="1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.5" customHeight="1">
      <c r="A3" s="253"/>
      <c r="B3" s="204"/>
      <c r="C3" s="204"/>
      <c r="D3" s="204"/>
      <c r="E3" s="204"/>
      <c r="F3" s="204"/>
      <c r="G3" s="204"/>
      <c r="H3" s="204"/>
      <c r="I3" s="204"/>
      <c r="J3" s="204"/>
      <c r="K3" s="187"/>
      <c r="L3" s="3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78" t="s">
        <v>1</v>
      </c>
      <c r="B4" s="191"/>
      <c r="C4" s="197"/>
      <c r="D4" s="197"/>
      <c r="E4" s="197"/>
      <c r="F4" s="197"/>
      <c r="G4" s="197"/>
      <c r="H4" s="197"/>
      <c r="I4" s="197"/>
      <c r="J4" s="197"/>
      <c r="K4" s="201"/>
      <c r="L4" s="3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79" t="s">
        <v>2</v>
      </c>
      <c r="B5" s="192"/>
      <c r="C5" s="190"/>
      <c r="D5" s="5" t="s">
        <v>3</v>
      </c>
      <c r="E5" s="192"/>
      <c r="F5" s="190"/>
      <c r="G5" s="5" t="s">
        <v>4</v>
      </c>
      <c r="H5" s="249"/>
      <c r="I5" s="197"/>
      <c r="J5" s="197"/>
      <c r="K5" s="201"/>
      <c r="L5" s="3"/>
      <c r="M5" s="2" t="s">
        <v>5</v>
      </c>
      <c r="N5" s="2" t="s">
        <v>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78" t="s">
        <v>7</v>
      </c>
      <c r="B6" s="189"/>
      <c r="C6" s="190"/>
      <c r="D6" s="5" t="s">
        <v>8</v>
      </c>
      <c r="E6" s="249"/>
      <c r="F6" s="190"/>
      <c r="G6" s="5" t="s">
        <v>9</v>
      </c>
      <c r="H6" s="264"/>
      <c r="I6" s="197"/>
      <c r="J6" s="197"/>
      <c r="K6" s="201"/>
      <c r="L6" s="3"/>
      <c r="M6" s="2" t="s">
        <v>10</v>
      </c>
      <c r="N6" s="2" t="s">
        <v>11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78" t="s">
        <v>12</v>
      </c>
      <c r="B7" s="191"/>
      <c r="C7" s="190"/>
      <c r="D7" s="5" t="s">
        <v>13</v>
      </c>
      <c r="E7" s="189"/>
      <c r="F7" s="190"/>
      <c r="G7" s="5" t="s">
        <v>14</v>
      </c>
      <c r="H7" s="249"/>
      <c r="I7" s="197"/>
      <c r="J7" s="197"/>
      <c r="K7" s="201"/>
      <c r="L7" s="3"/>
      <c r="M7" s="2" t="s">
        <v>15</v>
      </c>
      <c r="N7" s="2" t="s">
        <v>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78" t="s">
        <v>17</v>
      </c>
      <c r="B8" s="192"/>
      <c r="C8" s="197"/>
      <c r="D8" s="197"/>
      <c r="E8" s="197"/>
      <c r="F8" s="197"/>
      <c r="G8" s="197"/>
      <c r="H8" s="197"/>
      <c r="I8" s="197"/>
      <c r="J8" s="197"/>
      <c r="K8" s="201"/>
      <c r="L8" s="3"/>
      <c r="M8" s="2" t="s">
        <v>18</v>
      </c>
      <c r="N8" s="2" t="s">
        <v>19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78" t="s">
        <v>20</v>
      </c>
      <c r="B9" s="191"/>
      <c r="C9" s="197"/>
      <c r="D9" s="197"/>
      <c r="E9" s="197"/>
      <c r="F9" s="190"/>
      <c r="G9" s="5" t="s">
        <v>21</v>
      </c>
      <c r="H9" s="265"/>
      <c r="I9" s="197"/>
      <c r="J9" s="197"/>
      <c r="K9" s="201"/>
      <c r="L9" s="3"/>
      <c r="M9" s="2" t="s">
        <v>22</v>
      </c>
      <c r="N9" s="6" t="s">
        <v>23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78" t="s">
        <v>24</v>
      </c>
      <c r="B10" s="266"/>
      <c r="C10" s="190"/>
      <c r="D10" s="5" t="s">
        <v>25</v>
      </c>
      <c r="E10" s="189"/>
      <c r="F10" s="190"/>
      <c r="G10" s="5" t="s">
        <v>26</v>
      </c>
      <c r="H10" s="268"/>
      <c r="I10" s="269"/>
      <c r="J10" s="269"/>
      <c r="L10" s="3"/>
      <c r="M10" s="2" t="s">
        <v>27</v>
      </c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78" t="s">
        <v>28</v>
      </c>
      <c r="B11" s="191"/>
      <c r="C11" s="190"/>
      <c r="D11" s="5" t="s">
        <v>29</v>
      </c>
      <c r="E11" s="192"/>
      <c r="F11" s="190"/>
      <c r="G11" s="5" t="s">
        <v>30</v>
      </c>
      <c r="H11" s="267"/>
      <c r="I11" s="197"/>
      <c r="J11" s="197"/>
      <c r="K11" s="201"/>
      <c r="L11" s="3"/>
      <c r="M11" s="4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78" t="s">
        <v>31</v>
      </c>
      <c r="B12" s="189"/>
      <c r="C12" s="197"/>
      <c r="D12" s="197"/>
      <c r="E12" s="197"/>
      <c r="F12" s="190"/>
      <c r="G12" s="5" t="s">
        <v>32</v>
      </c>
      <c r="H12" s="200"/>
      <c r="I12" s="197"/>
      <c r="J12" s="197"/>
      <c r="K12" s="201"/>
      <c r="L12" s="3"/>
      <c r="M12" s="2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" customHeight="1">
      <c r="A13" s="270"/>
      <c r="B13" s="271"/>
      <c r="C13" s="271"/>
      <c r="D13" s="271"/>
      <c r="E13" s="271"/>
      <c r="F13" s="271"/>
      <c r="G13" s="271"/>
      <c r="H13" s="271"/>
      <c r="I13" s="271"/>
      <c r="J13" s="271"/>
      <c r="K13" s="272"/>
      <c r="L13" s="3"/>
      <c r="M13" s="4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>
      <c r="A14" s="273" t="s">
        <v>225</v>
      </c>
      <c r="B14" s="247"/>
      <c r="C14" s="247"/>
      <c r="D14" s="274" t="s">
        <v>33</v>
      </c>
      <c r="E14" s="247"/>
      <c r="F14" s="247"/>
      <c r="G14" s="274" t="s">
        <v>34</v>
      </c>
      <c r="H14" s="247"/>
      <c r="I14" s="247"/>
      <c r="J14" s="247"/>
      <c r="K14" s="245"/>
      <c r="L14" s="3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.5" customHeight="1">
      <c r="A15" s="275"/>
      <c r="B15" s="276"/>
      <c r="C15" s="276"/>
      <c r="D15" s="276"/>
      <c r="E15" s="276"/>
      <c r="F15" s="276"/>
      <c r="G15" s="276"/>
      <c r="H15" s="276"/>
      <c r="I15" s="276"/>
      <c r="J15" s="276"/>
      <c r="K15" s="272"/>
      <c r="L15" s="3"/>
      <c r="M15" s="7" t="s">
        <v>35</v>
      </c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78" t="s">
        <v>36</v>
      </c>
      <c r="B16" s="191"/>
      <c r="C16" s="197"/>
      <c r="D16" s="197"/>
      <c r="E16" s="197"/>
      <c r="F16" s="197"/>
      <c r="G16" s="197"/>
      <c r="H16" s="197"/>
      <c r="I16" s="197"/>
      <c r="J16" s="197"/>
      <c r="K16" s="201"/>
      <c r="L16" s="3"/>
      <c r="M16" s="7" t="s">
        <v>37</v>
      </c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78" t="s">
        <v>2</v>
      </c>
      <c r="B17" s="192"/>
      <c r="C17" s="190"/>
      <c r="D17" s="5" t="s">
        <v>3</v>
      </c>
      <c r="E17" s="192"/>
      <c r="F17" s="190"/>
      <c r="G17" s="5" t="s">
        <v>4</v>
      </c>
      <c r="H17" s="249"/>
      <c r="I17" s="197"/>
      <c r="J17" s="197"/>
      <c r="K17" s="201"/>
      <c r="L17" s="3"/>
      <c r="M17" s="7" t="s">
        <v>38</v>
      </c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78" t="s">
        <v>39</v>
      </c>
      <c r="B18" s="189"/>
      <c r="C18" s="190"/>
      <c r="D18" s="5" t="s">
        <v>8</v>
      </c>
      <c r="E18" s="189"/>
      <c r="F18" s="190"/>
      <c r="G18" s="5" t="s">
        <v>9</v>
      </c>
      <c r="H18" s="264"/>
      <c r="I18" s="197"/>
      <c r="J18" s="197"/>
      <c r="K18" s="201"/>
      <c r="L18" s="3"/>
      <c r="M18" s="7" t="s">
        <v>40</v>
      </c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78" t="s">
        <v>12</v>
      </c>
      <c r="B19" s="191"/>
      <c r="C19" s="190"/>
      <c r="D19" s="5" t="s">
        <v>13</v>
      </c>
      <c r="E19" s="192"/>
      <c r="F19" s="190"/>
      <c r="G19" s="5" t="s">
        <v>14</v>
      </c>
      <c r="H19" s="249"/>
      <c r="I19" s="197"/>
      <c r="J19" s="197"/>
      <c r="K19" s="201"/>
      <c r="L19" s="3"/>
      <c r="M19" s="7" t="s">
        <v>41</v>
      </c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78" t="s">
        <v>17</v>
      </c>
      <c r="B20" s="192"/>
      <c r="C20" s="197"/>
      <c r="D20" s="197"/>
      <c r="E20" s="197"/>
      <c r="F20" s="197"/>
      <c r="G20" s="197"/>
      <c r="H20" s="197"/>
      <c r="I20" s="197"/>
      <c r="J20" s="197"/>
      <c r="K20" s="201"/>
      <c r="L20" s="3"/>
      <c r="M20" s="7" t="s">
        <v>42</v>
      </c>
      <c r="N20" s="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78" t="s">
        <v>20</v>
      </c>
      <c r="B21" s="191"/>
      <c r="C21" s="197"/>
      <c r="D21" s="197"/>
      <c r="E21" s="197"/>
      <c r="F21" s="190"/>
      <c r="G21" s="5" t="s">
        <v>21</v>
      </c>
      <c r="H21" s="265"/>
      <c r="I21" s="197"/>
      <c r="J21" s="197"/>
      <c r="K21" s="201"/>
      <c r="L21" s="3"/>
      <c r="M21" s="7" t="s">
        <v>43</v>
      </c>
      <c r="N21" s="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78" t="s">
        <v>24</v>
      </c>
      <c r="B22" s="266"/>
      <c r="C22" s="190"/>
      <c r="D22" s="5" t="s">
        <v>25</v>
      </c>
      <c r="E22" s="189"/>
      <c r="F22" s="190"/>
      <c r="G22" s="5" t="s">
        <v>26</v>
      </c>
      <c r="H22" s="277"/>
      <c r="I22" s="197"/>
      <c r="J22" s="197"/>
      <c r="K22" s="201"/>
      <c r="L22" s="3"/>
      <c r="M22" s="7" t="s">
        <v>44</v>
      </c>
      <c r="N22" s="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78" t="s">
        <v>28</v>
      </c>
      <c r="B23" s="191"/>
      <c r="C23" s="190"/>
      <c r="D23" s="5" t="s">
        <v>29</v>
      </c>
      <c r="E23" s="192"/>
      <c r="F23" s="190"/>
      <c r="G23" s="5" t="s">
        <v>30</v>
      </c>
      <c r="H23" s="278"/>
      <c r="I23" s="197"/>
      <c r="J23" s="197"/>
      <c r="K23" s="201"/>
      <c r="L23" s="3"/>
      <c r="M23" s="7" t="s">
        <v>45</v>
      </c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78" t="s">
        <v>31</v>
      </c>
      <c r="B24" s="189"/>
      <c r="C24" s="197"/>
      <c r="D24" s="197"/>
      <c r="E24" s="197"/>
      <c r="F24" s="190"/>
      <c r="G24" s="5" t="s">
        <v>32</v>
      </c>
      <c r="H24" s="200"/>
      <c r="I24" s="197"/>
      <c r="J24" s="197"/>
      <c r="K24" s="201"/>
      <c r="L24" s="3"/>
      <c r="M24" s="7" t="s">
        <v>46</v>
      </c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.5" customHeight="1">
      <c r="A25" s="202"/>
      <c r="B25" s="186"/>
      <c r="C25" s="186"/>
      <c r="D25" s="186"/>
      <c r="E25" s="186"/>
      <c r="F25" s="186"/>
      <c r="G25" s="186"/>
      <c r="H25" s="186"/>
      <c r="I25" s="186"/>
      <c r="J25" s="186"/>
      <c r="K25" s="187"/>
      <c r="L25" s="1"/>
      <c r="M25" s="7" t="s">
        <v>47</v>
      </c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203" t="s">
        <v>48</v>
      </c>
      <c r="B26" s="204"/>
      <c r="C26" s="204"/>
      <c r="D26" s="204"/>
      <c r="E26" s="204"/>
      <c r="F26" s="204"/>
      <c r="G26" s="204"/>
      <c r="H26" s="204"/>
      <c r="I26" s="204"/>
      <c r="J26" s="204"/>
      <c r="K26" s="187"/>
      <c r="L26" s="1"/>
      <c r="M26" s="7" t="s">
        <v>49</v>
      </c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.5" customHeight="1">
      <c r="A27" s="202"/>
      <c r="B27" s="186"/>
      <c r="C27" s="186"/>
      <c r="D27" s="186"/>
      <c r="E27" s="186"/>
      <c r="F27" s="186"/>
      <c r="G27" s="186"/>
      <c r="H27" s="186"/>
      <c r="I27" s="186"/>
      <c r="J27" s="186"/>
      <c r="K27" s="187"/>
      <c r="L27" s="1"/>
      <c r="M27" s="7" t="s">
        <v>50</v>
      </c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80" t="s">
        <v>51</v>
      </c>
      <c r="B28" s="196"/>
      <c r="C28" s="197"/>
      <c r="D28" s="190"/>
      <c r="E28" s="5" t="s">
        <v>52</v>
      </c>
      <c r="F28" s="31"/>
      <c r="G28" s="5" t="s">
        <v>53</v>
      </c>
      <c r="H28" s="196"/>
      <c r="I28" s="197"/>
      <c r="J28" s="197"/>
      <c r="K28" s="201"/>
      <c r="L28" s="2"/>
      <c r="M28" s="7" t="s">
        <v>54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7.5" customHeight="1">
      <c r="A29" s="205"/>
      <c r="B29" s="204"/>
      <c r="C29" s="204"/>
      <c r="D29" s="204"/>
      <c r="E29" s="204"/>
      <c r="F29" s="204"/>
      <c r="G29" s="204"/>
      <c r="H29" s="204"/>
      <c r="I29" s="204"/>
      <c r="J29" s="204"/>
      <c r="K29" s="187"/>
      <c r="L29" s="8"/>
      <c r="M29" s="7" t="s">
        <v>55</v>
      </c>
      <c r="N29" s="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0" customHeight="1">
      <c r="A30" s="81" t="s">
        <v>56</v>
      </c>
      <c r="B30" s="196"/>
      <c r="C30" s="190"/>
      <c r="D30" s="9" t="s">
        <v>57</v>
      </c>
      <c r="E30" s="31"/>
      <c r="F30" s="198" t="s">
        <v>58</v>
      </c>
      <c r="G30" s="199"/>
      <c r="H30" s="238"/>
      <c r="I30" s="197"/>
      <c r="J30" s="197"/>
      <c r="K30" s="201"/>
      <c r="L30" s="2"/>
      <c r="M30" s="7" t="s">
        <v>59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7.5" customHeight="1">
      <c r="A31" s="202"/>
      <c r="B31" s="186"/>
      <c r="C31" s="186"/>
      <c r="D31" s="186"/>
      <c r="E31" s="186"/>
      <c r="F31" s="186"/>
      <c r="G31" s="186"/>
      <c r="H31" s="186"/>
      <c r="I31" s="186"/>
      <c r="J31" s="186"/>
      <c r="K31" s="187"/>
      <c r="L31" s="1"/>
      <c r="M31" s="7" t="s">
        <v>60</v>
      </c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223" t="s">
        <v>61</v>
      </c>
      <c r="B32" s="204"/>
      <c r="C32" s="204"/>
      <c r="D32" s="204"/>
      <c r="E32" s="204"/>
      <c r="F32" s="204"/>
      <c r="G32" s="204"/>
      <c r="H32" s="204"/>
      <c r="I32" s="204"/>
      <c r="J32" s="204"/>
      <c r="K32" s="187"/>
      <c r="L32" s="1"/>
      <c r="M32" s="7" t="s">
        <v>62</v>
      </c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5" customHeight="1">
      <c r="A33" s="82" t="s">
        <v>63</v>
      </c>
      <c r="B33" s="83" t="s">
        <v>64</v>
      </c>
      <c r="C33" s="83" t="s">
        <v>65</v>
      </c>
      <c r="D33" s="83" t="s">
        <v>66</v>
      </c>
      <c r="E33" s="10" t="s">
        <v>67</v>
      </c>
      <c r="F33" s="83" t="s">
        <v>68</v>
      </c>
      <c r="G33" s="206" t="s">
        <v>69</v>
      </c>
      <c r="H33" s="207"/>
      <c r="I33" s="207"/>
      <c r="J33" s="207"/>
      <c r="K33" s="208"/>
      <c r="L33" s="11"/>
      <c r="M33" s="7" t="s">
        <v>70</v>
      </c>
      <c r="N33" s="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s="61" customFormat="1" ht="25.5" customHeight="1">
      <c r="A34" s="82"/>
      <c r="B34" s="37"/>
      <c r="C34" s="178"/>
      <c r="D34" s="33">
        <v>0</v>
      </c>
      <c r="E34" s="39">
        <f>D34*A34</f>
        <v>0</v>
      </c>
      <c r="F34" s="32"/>
      <c r="G34" s="177"/>
      <c r="H34" s="175"/>
      <c r="I34" s="175"/>
      <c r="J34" s="175"/>
      <c r="K34" s="176"/>
      <c r="L34" s="11"/>
      <c r="M34" s="7"/>
      <c r="N34" s="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5" customHeight="1">
      <c r="A35" s="84"/>
      <c r="B35" s="37"/>
      <c r="C35" s="165"/>
      <c r="D35" s="33">
        <v>0</v>
      </c>
      <c r="E35" s="39">
        <f>D35*A35</f>
        <v>0</v>
      </c>
      <c r="F35" s="32"/>
      <c r="G35" s="209"/>
      <c r="H35" s="197"/>
      <c r="I35" s="197"/>
      <c r="J35" s="197"/>
      <c r="K35" s="201"/>
      <c r="L35" s="11"/>
      <c r="M35" s="7" t="s">
        <v>71</v>
      </c>
      <c r="N35" s="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5" customHeight="1">
      <c r="A36" s="84"/>
      <c r="B36" s="37"/>
      <c r="C36" s="165"/>
      <c r="D36" s="33">
        <v>0</v>
      </c>
      <c r="E36" s="39">
        <f>D36*A36</f>
        <v>0</v>
      </c>
      <c r="F36" s="32"/>
      <c r="G36" s="209"/>
      <c r="H36" s="197"/>
      <c r="I36" s="197"/>
      <c r="J36" s="197"/>
      <c r="K36" s="201"/>
      <c r="L36" s="11"/>
      <c r="M36" s="12" t="s">
        <v>72</v>
      </c>
      <c r="N36" s="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5" customHeight="1">
      <c r="A37" s="84"/>
      <c r="B37" s="37"/>
      <c r="C37" s="165"/>
      <c r="D37" s="33">
        <v>0</v>
      </c>
      <c r="E37" s="39">
        <f>D37*A37</f>
        <v>0</v>
      </c>
      <c r="F37" s="32"/>
      <c r="G37" s="209"/>
      <c r="H37" s="197"/>
      <c r="I37" s="197"/>
      <c r="J37" s="197"/>
      <c r="K37" s="201"/>
      <c r="L37" s="11"/>
      <c r="M37" s="12" t="s">
        <v>73</v>
      </c>
      <c r="N37" s="1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5" customHeight="1">
      <c r="A38" s="84"/>
      <c r="B38" s="37"/>
      <c r="C38" s="165"/>
      <c r="D38" s="33">
        <v>0</v>
      </c>
      <c r="E38" s="39">
        <f>D38*A38</f>
        <v>0</v>
      </c>
      <c r="F38" s="32"/>
      <c r="G38" s="209"/>
      <c r="H38" s="197"/>
      <c r="I38" s="197"/>
      <c r="J38" s="197"/>
      <c r="K38" s="201"/>
      <c r="L38" s="11"/>
      <c r="M38" s="12" t="s">
        <v>74</v>
      </c>
      <c r="N38" s="1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5" customHeight="1">
      <c r="A39" s="84"/>
      <c r="B39" s="37"/>
      <c r="C39" s="165"/>
      <c r="D39" s="33">
        <v>0</v>
      </c>
      <c r="E39" s="39">
        <f t="shared" ref="E39:E43" si="0">D39*A39</f>
        <v>0</v>
      </c>
      <c r="F39" s="32"/>
      <c r="G39" s="209"/>
      <c r="H39" s="197"/>
      <c r="I39" s="197"/>
      <c r="J39" s="197"/>
      <c r="K39" s="201"/>
      <c r="L39" s="11"/>
      <c r="M39" s="12" t="s">
        <v>75</v>
      </c>
      <c r="N39" s="1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5" customHeight="1">
      <c r="A40" s="84"/>
      <c r="B40" s="37"/>
      <c r="C40" s="32"/>
      <c r="D40" s="33">
        <v>0</v>
      </c>
      <c r="E40" s="39">
        <f t="shared" si="0"/>
        <v>0</v>
      </c>
      <c r="F40" s="32"/>
      <c r="G40" s="209"/>
      <c r="H40" s="197"/>
      <c r="I40" s="197"/>
      <c r="J40" s="197"/>
      <c r="K40" s="201"/>
      <c r="L40" s="11"/>
      <c r="M40" s="12" t="s">
        <v>76</v>
      </c>
      <c r="N40" s="13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5" customHeight="1">
      <c r="A41" s="84"/>
      <c r="B41" s="37"/>
      <c r="C41" s="32"/>
      <c r="D41" s="33">
        <v>0</v>
      </c>
      <c r="E41" s="39">
        <f t="shared" si="0"/>
        <v>0</v>
      </c>
      <c r="F41" s="32"/>
      <c r="G41" s="209"/>
      <c r="H41" s="197"/>
      <c r="I41" s="197"/>
      <c r="J41" s="197"/>
      <c r="K41" s="201"/>
      <c r="L41" s="11"/>
      <c r="M41" s="7" t="s">
        <v>77</v>
      </c>
      <c r="N41" s="1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5" customHeight="1">
      <c r="A42" s="84"/>
      <c r="B42" s="37"/>
      <c r="C42" s="32"/>
      <c r="D42" s="33">
        <v>0</v>
      </c>
      <c r="E42" s="39">
        <f t="shared" si="0"/>
        <v>0</v>
      </c>
      <c r="F42" s="32"/>
      <c r="G42" s="209"/>
      <c r="H42" s="197"/>
      <c r="I42" s="197"/>
      <c r="J42" s="197"/>
      <c r="K42" s="201"/>
      <c r="L42" s="11"/>
      <c r="M42" s="7" t="s">
        <v>78</v>
      </c>
      <c r="N42" s="13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5" customHeight="1">
      <c r="A43" s="84"/>
      <c r="B43" s="37"/>
      <c r="C43" s="32"/>
      <c r="D43" s="33">
        <v>0</v>
      </c>
      <c r="E43" s="39">
        <f t="shared" si="0"/>
        <v>0</v>
      </c>
      <c r="F43" s="32"/>
      <c r="G43" s="209"/>
      <c r="H43" s="197"/>
      <c r="I43" s="197"/>
      <c r="J43" s="197"/>
      <c r="K43" s="201"/>
      <c r="L43" s="11"/>
      <c r="M43" s="7" t="s">
        <v>79</v>
      </c>
      <c r="N43" s="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1" customHeight="1">
      <c r="A44" s="210" t="s">
        <v>80</v>
      </c>
      <c r="B44" s="211"/>
      <c r="C44" s="211"/>
      <c r="D44" s="212"/>
      <c r="E44" s="40">
        <f>SUM(E34:E43)</f>
        <v>0</v>
      </c>
      <c r="F44" s="34" t="e">
        <f>(E44+E54)/E56</f>
        <v>#DIV/0!</v>
      </c>
      <c r="G44" s="259" t="s">
        <v>81</v>
      </c>
      <c r="H44" s="260"/>
      <c r="I44" s="260"/>
      <c r="J44" s="260"/>
      <c r="K44" s="261"/>
      <c r="L44" s="11"/>
      <c r="M44" s="7" t="s">
        <v>82</v>
      </c>
      <c r="N44" s="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s="99" customFormat="1" ht="15.75" customHeight="1">
      <c r="A45" s="193" t="s">
        <v>83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5"/>
      <c r="L45" s="96"/>
      <c r="M45" s="97" t="s">
        <v>84</v>
      </c>
      <c r="N45" s="98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25" customHeight="1">
      <c r="A46" s="84"/>
      <c r="B46" s="32"/>
      <c r="C46" s="165"/>
      <c r="D46" s="35">
        <v>0</v>
      </c>
      <c r="E46" s="39">
        <f>D46*A46</f>
        <v>0</v>
      </c>
      <c r="F46" s="32"/>
      <c r="G46" s="209"/>
      <c r="H46" s="197"/>
      <c r="I46" s="197"/>
      <c r="J46" s="197"/>
      <c r="K46" s="201"/>
      <c r="L46" s="11"/>
      <c r="M46" s="7" t="s">
        <v>85</v>
      </c>
      <c r="N46" s="2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5" customHeight="1">
      <c r="A47" s="84"/>
      <c r="B47" s="32"/>
      <c r="C47" s="32"/>
      <c r="D47" s="35">
        <v>0</v>
      </c>
      <c r="E47" s="39">
        <f>D47*A47</f>
        <v>0</v>
      </c>
      <c r="F47" s="32"/>
      <c r="G47" s="209"/>
      <c r="H47" s="197"/>
      <c r="I47" s="197"/>
      <c r="J47" s="197"/>
      <c r="K47" s="201"/>
      <c r="L47" s="11"/>
      <c r="M47" s="7" t="s">
        <v>86</v>
      </c>
      <c r="N47" s="2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5" customHeight="1">
      <c r="A48" s="84"/>
      <c r="B48" s="32"/>
      <c r="C48" s="32"/>
      <c r="D48" s="35">
        <v>0</v>
      </c>
      <c r="E48" s="39">
        <f t="shared" ref="E48:E49" si="1">D48*A48</f>
        <v>0</v>
      </c>
      <c r="F48" s="32"/>
      <c r="G48" s="209"/>
      <c r="H48" s="262"/>
      <c r="I48" s="262"/>
      <c r="J48" s="262"/>
      <c r="K48" s="263"/>
      <c r="L48" s="11"/>
      <c r="M48" s="7" t="s">
        <v>87</v>
      </c>
      <c r="N48" s="2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5" customHeight="1">
      <c r="A49" s="84"/>
      <c r="B49" s="32"/>
      <c r="C49" s="32"/>
      <c r="D49" s="35">
        <v>0</v>
      </c>
      <c r="E49" s="39">
        <f t="shared" si="1"/>
        <v>0</v>
      </c>
      <c r="F49" s="32"/>
      <c r="G49" s="209"/>
      <c r="H49" s="197"/>
      <c r="I49" s="197"/>
      <c r="J49" s="197"/>
      <c r="K49" s="201"/>
      <c r="L49" s="11"/>
      <c r="M49" s="7" t="s">
        <v>88</v>
      </c>
      <c r="N49" s="2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1" customHeight="1">
      <c r="A50" s="85"/>
      <c r="B50" s="86"/>
      <c r="C50" s="213" t="s">
        <v>89</v>
      </c>
      <c r="D50" s="199"/>
      <c r="E50" s="40">
        <f>SUM(E46:E49)</f>
        <v>0</v>
      </c>
      <c r="F50" s="216"/>
      <c r="G50" s="204"/>
      <c r="H50" s="204"/>
      <c r="I50" s="204"/>
      <c r="J50" s="204"/>
      <c r="K50" s="187"/>
      <c r="L50" s="11"/>
      <c r="M50" s="7" t="s">
        <v>90</v>
      </c>
      <c r="N50" s="2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7.5" customHeight="1">
      <c r="A51" s="217"/>
      <c r="B51" s="186"/>
      <c r="C51" s="186"/>
      <c r="D51" s="186"/>
      <c r="E51" s="186"/>
      <c r="F51" s="186"/>
      <c r="G51" s="186"/>
      <c r="H51" s="186"/>
      <c r="I51" s="186"/>
      <c r="J51" s="186"/>
      <c r="K51" s="187"/>
      <c r="L51" s="11"/>
      <c r="M51" s="7" t="s">
        <v>91</v>
      </c>
      <c r="N51" s="2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6" customHeight="1">
      <c r="A52" s="87"/>
      <c r="B52" s="41"/>
      <c r="C52" s="214" t="s">
        <v>92</v>
      </c>
      <c r="D52" s="199"/>
      <c r="E52" s="14">
        <f>SUM(E44+E50)</f>
        <v>0</v>
      </c>
      <c r="F52" s="218"/>
      <c r="G52" s="204"/>
      <c r="H52" s="204"/>
      <c r="I52" s="204"/>
      <c r="J52" s="204"/>
      <c r="K52" s="187"/>
      <c r="L52" s="1"/>
      <c r="M52" s="7" t="s">
        <v>93</v>
      </c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.5" customHeight="1">
      <c r="A53" s="219"/>
      <c r="B53" s="204"/>
      <c r="C53" s="204"/>
      <c r="D53" s="204"/>
      <c r="E53" s="204"/>
      <c r="F53" s="204"/>
      <c r="G53" s="204"/>
      <c r="H53" s="204"/>
      <c r="I53" s="204"/>
      <c r="J53" s="204"/>
      <c r="K53" s="187"/>
      <c r="L53" s="3"/>
      <c r="M53" s="7" t="s">
        <v>94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1.5" customHeight="1">
      <c r="A54" s="87"/>
      <c r="B54" s="41"/>
      <c r="C54" s="214" t="s">
        <v>95</v>
      </c>
      <c r="D54" s="199"/>
      <c r="E54" s="60"/>
      <c r="F54" s="220"/>
      <c r="G54" s="204"/>
      <c r="H54" s="204"/>
      <c r="I54" s="204"/>
      <c r="J54" s="204"/>
      <c r="K54" s="187"/>
      <c r="L54" s="1"/>
      <c r="M54" s="7" t="s">
        <v>96</v>
      </c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7.5" customHeight="1">
      <c r="A55" s="221" t="s">
        <v>226</v>
      </c>
      <c r="B55" s="204"/>
      <c r="C55" s="204"/>
      <c r="D55" s="204"/>
      <c r="E55" s="204"/>
      <c r="F55" s="204"/>
      <c r="G55" s="204"/>
      <c r="H55" s="204"/>
      <c r="I55" s="204"/>
      <c r="J55" s="204"/>
      <c r="K55" s="187"/>
      <c r="L55" s="3"/>
      <c r="M55" s="7" t="s">
        <v>97</v>
      </c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1.5" customHeight="1">
      <c r="A56" s="87"/>
      <c r="B56" s="41"/>
      <c r="C56" s="214" t="s">
        <v>98</v>
      </c>
      <c r="D56" s="215"/>
      <c r="E56" s="14">
        <f>SUM(E52+E54)</f>
        <v>0</v>
      </c>
      <c r="F56" s="222"/>
      <c r="G56" s="222"/>
      <c r="H56" s="43"/>
      <c r="I56" s="77"/>
      <c r="J56" s="77"/>
      <c r="K56" s="88"/>
      <c r="L56" s="1"/>
      <c r="M56" s="7" t="s">
        <v>99</v>
      </c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38" customFormat="1" ht="7.5" customHeight="1">
      <c r="A57" s="87"/>
      <c r="B57" s="41"/>
      <c r="C57" s="42"/>
      <c r="D57" s="76"/>
      <c r="E57" s="44"/>
      <c r="F57" s="77"/>
      <c r="G57" s="77"/>
      <c r="H57" s="43"/>
      <c r="I57" s="77"/>
      <c r="J57" s="77"/>
      <c r="K57" s="88"/>
      <c r="L57" s="1"/>
      <c r="M57" s="7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89"/>
      <c r="B58" s="90"/>
      <c r="C58" s="256" t="s">
        <v>194</v>
      </c>
      <c r="D58" s="256"/>
      <c r="E58" s="257"/>
      <c r="F58" s="257"/>
      <c r="G58" s="257"/>
      <c r="H58" s="257"/>
      <c r="I58" s="257"/>
      <c r="J58" s="257"/>
      <c r="K58" s="258"/>
      <c r="L58" s="3"/>
      <c r="M58" s="7" t="s">
        <v>100</v>
      </c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.5" customHeight="1">
      <c r="A59" s="224"/>
      <c r="B59" s="204"/>
      <c r="C59" s="204"/>
      <c r="D59" s="204"/>
      <c r="E59" s="204"/>
      <c r="F59" s="204"/>
      <c r="G59" s="204"/>
      <c r="H59" s="204"/>
      <c r="I59" s="204"/>
      <c r="J59" s="204"/>
      <c r="K59" s="187"/>
      <c r="L59" s="1"/>
      <c r="M59" s="7" t="s">
        <v>101</v>
      </c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4.25" customHeight="1">
      <c r="A60" s="91" t="s">
        <v>102</v>
      </c>
      <c r="B60" s="255"/>
      <c r="C60" s="197"/>
      <c r="D60" s="197"/>
      <c r="E60" s="197"/>
      <c r="F60" s="197"/>
      <c r="G60" s="197"/>
      <c r="H60" s="197"/>
      <c r="I60" s="197"/>
      <c r="J60" s="197"/>
      <c r="K60" s="201"/>
      <c r="L60" s="1"/>
      <c r="M60" s="7" t="s">
        <v>103</v>
      </c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>
      <c r="A61" s="224"/>
      <c r="B61" s="204"/>
      <c r="C61" s="204"/>
      <c r="D61" s="204"/>
      <c r="E61" s="204"/>
      <c r="F61" s="204"/>
      <c r="G61" s="204"/>
      <c r="H61" s="204"/>
      <c r="I61" s="204"/>
      <c r="J61" s="204"/>
      <c r="K61" s="187"/>
      <c r="L61" s="1"/>
      <c r="M61" s="7" t="s">
        <v>104</v>
      </c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61" customFormat="1" ht="18" customHeight="1">
      <c r="A62" s="182" t="s">
        <v>105</v>
      </c>
      <c r="B62" s="183"/>
      <c r="C62" s="183"/>
      <c r="D62" s="183"/>
      <c r="E62" s="183"/>
      <c r="F62" s="183"/>
      <c r="G62" s="183"/>
      <c r="H62" s="183"/>
      <c r="I62" s="183"/>
      <c r="J62" s="183"/>
      <c r="K62" s="184"/>
      <c r="L62" s="1"/>
      <c r="M62" s="7" t="s">
        <v>106</v>
      </c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s="61" customFormat="1" ht="23.25" customHeight="1">
      <c r="A63" s="185" t="s">
        <v>233</v>
      </c>
      <c r="B63" s="186"/>
      <c r="C63" s="186"/>
      <c r="D63" s="186"/>
      <c r="E63" s="186"/>
      <c r="F63" s="186"/>
      <c r="G63" s="186"/>
      <c r="H63" s="186"/>
      <c r="I63" s="186"/>
      <c r="J63" s="186"/>
      <c r="K63" s="187"/>
      <c r="L63" s="1"/>
      <c r="M63" s="7" t="s">
        <v>107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s="61" customFormat="1" ht="30" customHeight="1">
      <c r="A64" s="188" t="s">
        <v>234</v>
      </c>
      <c r="B64" s="186"/>
      <c r="C64" s="186"/>
      <c r="D64" s="186"/>
      <c r="E64" s="186"/>
      <c r="F64" s="186"/>
      <c r="G64" s="186"/>
      <c r="H64" s="186"/>
      <c r="I64" s="186"/>
      <c r="J64" s="186"/>
      <c r="K64" s="187"/>
      <c r="L64" s="1"/>
      <c r="M64" s="7" t="s">
        <v>108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s="61" customFormat="1" ht="25.5" customHeight="1">
      <c r="A65" s="185" t="s">
        <v>235</v>
      </c>
      <c r="B65" s="186"/>
      <c r="C65" s="186"/>
      <c r="D65" s="186"/>
      <c r="E65" s="186"/>
      <c r="F65" s="186"/>
      <c r="G65" s="186"/>
      <c r="H65" s="186"/>
      <c r="I65" s="186"/>
      <c r="J65" s="186"/>
      <c r="K65" s="187"/>
      <c r="L65" s="1"/>
      <c r="M65" s="7" t="s">
        <v>109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s="61" customFormat="1" ht="18.75" customHeight="1">
      <c r="A66" s="182" t="s">
        <v>236</v>
      </c>
      <c r="B66" s="183"/>
      <c r="C66" s="183"/>
      <c r="D66" s="183"/>
      <c r="E66" s="183"/>
      <c r="F66" s="183"/>
      <c r="G66" s="183"/>
      <c r="H66" s="183"/>
      <c r="I66" s="183"/>
      <c r="J66" s="183"/>
      <c r="K66" s="184"/>
      <c r="L66" s="1"/>
      <c r="M66" s="7" t="s">
        <v>106</v>
      </c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s="61" customFormat="1" ht="21.75" customHeight="1">
      <c r="A67" s="185" t="s">
        <v>237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7"/>
      <c r="L67" s="1"/>
      <c r="M67" s="7" t="s">
        <v>110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s="61" customFormat="1" ht="30" customHeight="1">
      <c r="A68" s="185" t="s">
        <v>240</v>
      </c>
      <c r="B68" s="186"/>
      <c r="C68" s="186"/>
      <c r="D68" s="186"/>
      <c r="E68" s="186"/>
      <c r="F68" s="186"/>
      <c r="G68" s="186"/>
      <c r="H68" s="186"/>
      <c r="I68" s="186"/>
      <c r="J68" s="186"/>
      <c r="K68" s="187"/>
      <c r="L68" s="15"/>
      <c r="M68" s="7" t="s">
        <v>111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s="61" customFormat="1" ht="18.75" customHeight="1">
      <c r="A69" s="223" t="s">
        <v>238</v>
      </c>
      <c r="B69" s="204"/>
      <c r="C69" s="204"/>
      <c r="D69" s="204"/>
      <c r="E69" s="204"/>
      <c r="F69" s="204"/>
      <c r="G69" s="204"/>
      <c r="H69" s="204"/>
      <c r="I69" s="204"/>
      <c r="J69" s="204"/>
      <c r="K69" s="187"/>
      <c r="L69" s="1"/>
      <c r="M69" s="7" t="s">
        <v>106</v>
      </c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.5" customHeight="1">
      <c r="A70" s="224"/>
      <c r="B70" s="204"/>
      <c r="C70" s="204"/>
      <c r="D70" s="204"/>
      <c r="E70" s="204"/>
      <c r="F70" s="204"/>
      <c r="G70" s="204"/>
      <c r="H70" s="204"/>
      <c r="I70" s="204"/>
      <c r="J70" s="204"/>
      <c r="K70" s="187"/>
      <c r="L70" s="1"/>
      <c r="M70" s="7" t="s">
        <v>112</v>
      </c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2" t="s">
        <v>113</v>
      </c>
      <c r="B71" s="167"/>
      <c r="C71" s="16" t="s">
        <v>114</v>
      </c>
      <c r="D71" s="36"/>
      <c r="E71" s="16" t="s">
        <v>115</v>
      </c>
      <c r="F71" s="225"/>
      <c r="G71" s="226"/>
      <c r="H71" s="16" t="s">
        <v>114</v>
      </c>
      <c r="I71" s="238"/>
      <c r="J71" s="197"/>
      <c r="K71" s="201"/>
      <c r="L71" s="15"/>
      <c r="M71" s="7" t="s">
        <v>116</v>
      </c>
      <c r="N71" s="17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7.5" customHeight="1">
      <c r="A72" s="224"/>
      <c r="B72" s="204"/>
      <c r="C72" s="204"/>
      <c r="D72" s="204"/>
      <c r="E72" s="204"/>
      <c r="F72" s="204"/>
      <c r="G72" s="204"/>
      <c r="H72" s="204"/>
      <c r="I72" s="204"/>
      <c r="J72" s="204"/>
      <c r="K72" s="187"/>
      <c r="L72" s="1"/>
      <c r="M72" s="7" t="s">
        <v>117</v>
      </c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>
      <c r="A73" s="93" t="s">
        <v>118</v>
      </c>
      <c r="B73" s="239" t="s">
        <v>119</v>
      </c>
      <c r="C73" s="18" t="s">
        <v>120</v>
      </c>
      <c r="D73" s="240"/>
      <c r="E73" s="241" t="s">
        <v>121</v>
      </c>
      <c r="F73" s="242"/>
      <c r="G73" s="242"/>
      <c r="H73" s="242"/>
      <c r="I73" s="242"/>
      <c r="J73" s="242"/>
      <c r="K73" s="243"/>
      <c r="L73" s="19"/>
      <c r="M73" s="7" t="s">
        <v>122</v>
      </c>
      <c r="N73" s="17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24" customHeight="1">
      <c r="A74" s="94"/>
      <c r="B74" s="186"/>
      <c r="C74" s="95">
        <f ca="1">TODAY()</f>
        <v>44858</v>
      </c>
      <c r="D74" s="186"/>
      <c r="E74" s="244" t="s">
        <v>123</v>
      </c>
      <c r="F74" s="228"/>
      <c r="G74" s="228"/>
      <c r="H74" s="228"/>
      <c r="I74" s="228"/>
      <c r="J74" s="228"/>
      <c r="K74" s="245"/>
      <c r="L74" s="15"/>
      <c r="M74" s="7" t="s">
        <v>124</v>
      </c>
      <c r="N74" s="17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1.75" customHeight="1">
      <c r="A75" s="248" t="s">
        <v>125</v>
      </c>
      <c r="B75" s="242"/>
      <c r="C75" s="242"/>
      <c r="D75" s="242"/>
      <c r="E75" s="246"/>
      <c r="F75" s="247"/>
      <c r="G75" s="247"/>
      <c r="H75" s="247"/>
      <c r="I75" s="247"/>
      <c r="J75" s="247"/>
      <c r="K75" s="245"/>
      <c r="L75" s="15"/>
      <c r="M75" s="7" t="s">
        <v>126</v>
      </c>
      <c r="N75" s="17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7.5" customHeight="1">
      <c r="A76" s="227" t="s">
        <v>127</v>
      </c>
      <c r="B76" s="228"/>
      <c r="C76" s="228"/>
      <c r="D76" s="228"/>
      <c r="E76" s="232" t="s">
        <v>128</v>
      </c>
      <c r="F76" s="233"/>
      <c r="G76" s="233"/>
      <c r="H76" s="233"/>
      <c r="I76" s="233"/>
      <c r="J76" s="233"/>
      <c r="K76" s="234"/>
      <c r="L76" s="15"/>
      <c r="M76" s="7" t="s">
        <v>129</v>
      </c>
      <c r="N76" s="17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5.5" customHeight="1">
      <c r="A77" s="229"/>
      <c r="B77" s="228"/>
      <c r="C77" s="228"/>
      <c r="D77" s="228"/>
      <c r="E77" s="235"/>
      <c r="F77" s="235"/>
      <c r="G77" s="235"/>
      <c r="H77" s="235"/>
      <c r="I77" s="235"/>
      <c r="J77" s="235"/>
      <c r="K77" s="234"/>
      <c r="L77" s="15"/>
      <c r="M77" s="7" t="s">
        <v>130</v>
      </c>
      <c r="N77" s="17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8" customHeight="1" thickBot="1">
      <c r="A78" s="230"/>
      <c r="B78" s="231"/>
      <c r="C78" s="231"/>
      <c r="D78" s="231"/>
      <c r="E78" s="236"/>
      <c r="F78" s="236"/>
      <c r="G78" s="236"/>
      <c r="H78" s="236"/>
      <c r="I78" s="236"/>
      <c r="J78" s="236"/>
      <c r="K78" s="237"/>
      <c r="L78" s="15"/>
      <c r="M78" s="7" t="s">
        <v>131</v>
      </c>
      <c r="N78" s="17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1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15"/>
      <c r="M79" s="7" t="s">
        <v>132</v>
      </c>
      <c r="N79" s="17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1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15"/>
      <c r="M80" s="7" t="s">
        <v>133</v>
      </c>
      <c r="N80" s="17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</sheetData>
  <sheetProtection selectLockedCells="1"/>
  <mergeCells count="114">
    <mergeCell ref="A31:K31"/>
    <mergeCell ref="A32:K32"/>
    <mergeCell ref="H22:K22"/>
    <mergeCell ref="H23:K23"/>
    <mergeCell ref="B20:K20"/>
    <mergeCell ref="B21:F21"/>
    <mergeCell ref="H21:K21"/>
    <mergeCell ref="B22:C22"/>
    <mergeCell ref="E22:F22"/>
    <mergeCell ref="B23:C23"/>
    <mergeCell ref="E23:F23"/>
    <mergeCell ref="H12:K12"/>
    <mergeCell ref="H10:J10"/>
    <mergeCell ref="A13:K13"/>
    <mergeCell ref="A14:C14"/>
    <mergeCell ref="D14:F14"/>
    <mergeCell ref="G14:K14"/>
    <mergeCell ref="A15:K15"/>
    <mergeCell ref="B16:K16"/>
    <mergeCell ref="H30:K30"/>
    <mergeCell ref="H18:K18"/>
    <mergeCell ref="H19:K19"/>
    <mergeCell ref="B17:C17"/>
    <mergeCell ref="E17:F17"/>
    <mergeCell ref="H17:K17"/>
    <mergeCell ref="B18:C18"/>
    <mergeCell ref="B60:K60"/>
    <mergeCell ref="A61:K61"/>
    <mergeCell ref="C58:D58"/>
    <mergeCell ref="E58:K58"/>
    <mergeCell ref="G43:K43"/>
    <mergeCell ref="G44:K44"/>
    <mergeCell ref="G46:K46"/>
    <mergeCell ref="G47:K47"/>
    <mergeCell ref="G48:K48"/>
    <mergeCell ref="E5:F5"/>
    <mergeCell ref="H5:K5"/>
    <mergeCell ref="G1:K1"/>
    <mergeCell ref="A2:K2"/>
    <mergeCell ref="A3:K3"/>
    <mergeCell ref="B4:K4"/>
    <mergeCell ref="B5:C5"/>
    <mergeCell ref="C1:F1"/>
    <mergeCell ref="A59:K59"/>
    <mergeCell ref="B6:C6"/>
    <mergeCell ref="E6:F6"/>
    <mergeCell ref="H6:K6"/>
    <mergeCell ref="B7:C7"/>
    <mergeCell ref="E7:F7"/>
    <mergeCell ref="H7:K7"/>
    <mergeCell ref="B8:K8"/>
    <mergeCell ref="E11:F11"/>
    <mergeCell ref="B12:F12"/>
    <mergeCell ref="B9:F9"/>
    <mergeCell ref="H9:K9"/>
    <mergeCell ref="B10:C10"/>
    <mergeCell ref="E10:F10"/>
    <mergeCell ref="H11:K11"/>
    <mergeCell ref="B11:C11"/>
    <mergeCell ref="A69:K69"/>
    <mergeCell ref="A70:K70"/>
    <mergeCell ref="F71:G71"/>
    <mergeCell ref="A76:D78"/>
    <mergeCell ref="E76:K78"/>
    <mergeCell ref="I71:K71"/>
    <mergeCell ref="A72:K72"/>
    <mergeCell ref="B73:B74"/>
    <mergeCell ref="D73:D74"/>
    <mergeCell ref="E73:K73"/>
    <mergeCell ref="E74:K75"/>
    <mergeCell ref="A75:D75"/>
    <mergeCell ref="C54:D54"/>
    <mergeCell ref="C56:D56"/>
    <mergeCell ref="F50:K50"/>
    <mergeCell ref="A51:K51"/>
    <mergeCell ref="C52:D52"/>
    <mergeCell ref="F52:K52"/>
    <mergeCell ref="A53:K53"/>
    <mergeCell ref="F54:K54"/>
    <mergeCell ref="A55:K55"/>
    <mergeCell ref="F56:G56"/>
    <mergeCell ref="G37:K37"/>
    <mergeCell ref="A44:D44"/>
    <mergeCell ref="G38:K38"/>
    <mergeCell ref="G39:K39"/>
    <mergeCell ref="G40:K40"/>
    <mergeCell ref="G41:K41"/>
    <mergeCell ref="G42:K42"/>
    <mergeCell ref="G49:K49"/>
    <mergeCell ref="C50:D50"/>
    <mergeCell ref="A62:K62"/>
    <mergeCell ref="A63:K63"/>
    <mergeCell ref="A64:K64"/>
    <mergeCell ref="A65:K65"/>
    <mergeCell ref="A66:K66"/>
    <mergeCell ref="A67:K67"/>
    <mergeCell ref="A68:K68"/>
    <mergeCell ref="E18:F18"/>
    <mergeCell ref="B19:C19"/>
    <mergeCell ref="E19:F19"/>
    <mergeCell ref="A45:K45"/>
    <mergeCell ref="B28:D28"/>
    <mergeCell ref="B30:C30"/>
    <mergeCell ref="F30:G30"/>
    <mergeCell ref="B24:F24"/>
    <mergeCell ref="H24:K24"/>
    <mergeCell ref="A25:K25"/>
    <mergeCell ref="A26:K26"/>
    <mergeCell ref="A27:K27"/>
    <mergeCell ref="H28:K28"/>
    <mergeCell ref="A29:K29"/>
    <mergeCell ref="G33:K33"/>
    <mergeCell ref="G35:K35"/>
    <mergeCell ref="G36:K36"/>
  </mergeCells>
  <conditionalFormatting sqref="B7:C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C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6">
    <dataValidation type="list" allowBlank="1" showErrorMessage="1" sqref="B34:B43" xr:uid="{00000000-0002-0000-0000-000000000000}">
      <formula1>"Única,Mensais,Semestrais,Anuais"</formula1>
    </dataValidation>
    <dataValidation type="list" allowBlank="1" showErrorMessage="1" sqref="A74" xr:uid="{00000000-0002-0000-0000-000001000000}">
      <formula1>"Jundiai/SP,Rio Claro/SP,São Paulo/SP,Goiânia/GO,Salvador/BA,São Carlos/SP,Araraquara/SP,Brasilia/DF"</formula1>
    </dataValidation>
    <dataValidation type="list" allowBlank="1" showInputMessage="1" showErrorMessage="1" sqref="B7:C7 B19:C19" xr:uid="{00000000-0002-0000-0000-000002000000}">
      <formula1>$M$5:$M$10</formula1>
    </dataValidation>
    <dataValidation type="list" allowBlank="1" showInputMessage="1" showErrorMessage="1" sqref="E7:F7 E19:F19" xr:uid="{00000000-0002-0000-0000-000003000000}">
      <formula1>$N$5:$N$9</formula1>
    </dataValidation>
    <dataValidation type="list" allowBlank="1" showInputMessage="1" showErrorMessage="1" sqref="B46:B49" xr:uid="{00000000-0002-0000-0000-000004000000}">
      <formula1>"Única,Mensais,Semestrais,Anuais"</formula1>
    </dataValidation>
    <dataValidation type="list" allowBlank="1" showInputMessage="1" showErrorMessage="1" sqref="H30:K30" xr:uid="{00000000-0002-0000-0000-000005000000}">
      <formula1>$M$15:$M$80</formula1>
    </dataValidation>
  </dataValidations>
  <printOptions horizontalCentered="1"/>
  <pageMargins left="7.8740157480315001E-2" right="7.8740157480315001E-2" top="7.8740157480315001E-2" bottom="7.8740157480315001E-2" header="0" footer="0"/>
  <pageSetup paperSize="9" scale="41" orientation="portrait" r:id="rId1"/>
  <colBreaks count="1" manualBreakCount="1">
    <brk id="11" man="1"/>
  </colBreaks>
  <ignoredErrors>
    <ignoredError sqref="E47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6"/>
  <dimension ref="A1:Z1025"/>
  <sheetViews>
    <sheetView showGridLines="0" view="pageBreakPreview" zoomScale="118" zoomScaleNormal="100" zoomScaleSheetLayoutView="118" workbookViewId="0">
      <selection activeCell="G152" sqref="G152"/>
    </sheetView>
  </sheetViews>
  <sheetFormatPr baseColWidth="10" defaultColWidth="14.5" defaultRowHeight="15" customHeight="1"/>
  <cols>
    <col min="1" max="1" width="12.6640625" customWidth="1"/>
    <col min="2" max="2" width="7.83203125" customWidth="1"/>
    <col min="3" max="3" width="10" customWidth="1"/>
    <col min="4" max="4" width="8" customWidth="1"/>
    <col min="5" max="5" width="9" customWidth="1"/>
    <col min="6" max="6" width="10.83203125" customWidth="1"/>
    <col min="7" max="7" width="10.1640625" customWidth="1"/>
    <col min="8" max="8" width="10.5" customWidth="1"/>
    <col min="9" max="9" width="5.1640625" customWidth="1"/>
    <col min="10" max="26" width="9" customWidth="1"/>
  </cols>
  <sheetData>
    <row r="1" spans="1:26" ht="12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s="61" customFormat="1" ht="12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.7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3.5" customHeight="1">
      <c r="A5" s="319" t="s">
        <v>165</v>
      </c>
      <c r="B5" s="314"/>
      <c r="C5" s="314"/>
      <c r="D5" s="314"/>
      <c r="E5" s="314"/>
      <c r="F5" s="314"/>
      <c r="G5" s="314"/>
      <c r="H5" s="314"/>
      <c r="I5" s="314"/>
      <c r="J5" s="314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3.5" customHeight="1">
      <c r="A6" s="314"/>
      <c r="B6" s="314"/>
      <c r="C6" s="314"/>
      <c r="D6" s="314"/>
      <c r="E6" s="314"/>
      <c r="F6" s="314"/>
      <c r="G6" s="314"/>
      <c r="H6" s="314"/>
      <c r="I6" s="314"/>
      <c r="J6" s="314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s="61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s="61" customFormat="1" ht="13.5" customHeight="1">
      <c r="A8" s="339" t="s">
        <v>230</v>
      </c>
      <c r="B8" s="339"/>
      <c r="C8" s="339"/>
      <c r="D8" s="339"/>
      <c r="E8" s="339"/>
      <c r="F8" s="339"/>
      <c r="G8" s="339"/>
      <c r="H8" s="339"/>
      <c r="I8" s="339"/>
      <c r="J8" s="339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s="61" customFormat="1" ht="13.5" customHeight="1">
      <c r="A9" s="339"/>
      <c r="B9" s="339"/>
      <c r="C9" s="339"/>
      <c r="D9" s="339"/>
      <c r="E9" s="339"/>
      <c r="F9" s="339"/>
      <c r="G9" s="339"/>
      <c r="H9" s="339"/>
      <c r="I9" s="339"/>
      <c r="J9" s="339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s="61" customFormat="1" ht="13.5" customHeight="1">
      <c r="A10" s="339"/>
      <c r="B10" s="339"/>
      <c r="C10" s="339"/>
      <c r="D10" s="339"/>
      <c r="E10" s="339"/>
      <c r="F10" s="339"/>
      <c r="G10" s="339"/>
      <c r="H10" s="339"/>
      <c r="I10" s="339"/>
      <c r="J10" s="33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s="61" customFormat="1" ht="13.5" customHeight="1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" customHeight="1">
      <c r="A12" s="320" t="s">
        <v>166</v>
      </c>
      <c r="B12" s="321"/>
      <c r="C12" s="321"/>
      <c r="D12" s="321"/>
      <c r="E12" s="321"/>
      <c r="F12" s="321"/>
      <c r="G12" s="321"/>
      <c r="H12" s="321"/>
      <c r="I12" s="321"/>
      <c r="J12" s="322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" customHeight="1">
      <c r="A13" s="323" t="s">
        <v>189</v>
      </c>
      <c r="B13" s="322"/>
      <c r="C13" s="325">
        <f>Proposta!B4</f>
        <v>0</v>
      </c>
      <c r="D13" s="326"/>
      <c r="E13" s="326"/>
      <c r="F13" s="326"/>
      <c r="G13" s="326"/>
      <c r="H13" s="326"/>
      <c r="I13" s="326"/>
      <c r="J13" s="327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s="38" customFormat="1" ht="15" customHeight="1">
      <c r="A14" s="47" t="s">
        <v>9</v>
      </c>
      <c r="B14" s="328">
        <f>Proposta!H6</f>
        <v>0</v>
      </c>
      <c r="C14" s="329"/>
      <c r="D14" s="329"/>
      <c r="E14" s="330"/>
      <c r="F14" s="47" t="s">
        <v>21</v>
      </c>
      <c r="G14" s="331">
        <f>Proposta!H9</f>
        <v>0</v>
      </c>
      <c r="H14" s="332"/>
      <c r="I14" s="332"/>
      <c r="J14" s="333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8" customHeight="1">
      <c r="A15" s="48" t="s">
        <v>167</v>
      </c>
      <c r="B15" s="336">
        <f>Proposta!B9</f>
        <v>0</v>
      </c>
      <c r="C15" s="337"/>
      <c r="D15" s="337"/>
      <c r="E15" s="337"/>
      <c r="F15" s="337"/>
      <c r="G15" s="337"/>
      <c r="H15" s="337"/>
      <c r="I15" s="337"/>
      <c r="J15" s="33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" customHeight="1">
      <c r="A16" s="48" t="s">
        <v>168</v>
      </c>
      <c r="B16" s="334">
        <f>Proposta!B11</f>
        <v>0</v>
      </c>
      <c r="C16" s="335"/>
      <c r="D16" s="335"/>
      <c r="E16" s="335"/>
      <c r="F16" s="48" t="s">
        <v>169</v>
      </c>
      <c r="G16" s="336">
        <f>Proposta!B7</f>
        <v>0</v>
      </c>
      <c r="H16" s="337"/>
      <c r="I16" s="337"/>
      <c r="J16" s="33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" customHeight="1">
      <c r="A17" s="48" t="s">
        <v>170</v>
      </c>
      <c r="B17" s="324">
        <f>SUM(Proposta!H10)</f>
        <v>0</v>
      </c>
      <c r="C17" s="321"/>
      <c r="D17" s="321"/>
      <c r="E17" s="322"/>
      <c r="F17" s="48" t="s">
        <v>171</v>
      </c>
      <c r="G17" s="324">
        <f>Proposta!H11</f>
        <v>0</v>
      </c>
      <c r="H17" s="321"/>
      <c r="I17" s="321"/>
      <c r="J17" s="322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.75" customHeight="1">
      <c r="A18" s="352"/>
      <c r="B18" s="321"/>
      <c r="C18" s="321"/>
      <c r="D18" s="321"/>
      <c r="E18" s="321"/>
      <c r="F18" s="321"/>
      <c r="G18" s="321"/>
      <c r="H18" s="321"/>
      <c r="I18" s="321"/>
      <c r="J18" s="322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" customHeight="1">
      <c r="A19" s="323" t="s">
        <v>190</v>
      </c>
      <c r="B19" s="322"/>
      <c r="C19" s="336">
        <f>Proposta!B16</f>
        <v>0</v>
      </c>
      <c r="D19" s="337"/>
      <c r="E19" s="337"/>
      <c r="F19" s="337"/>
      <c r="G19" s="337"/>
      <c r="H19" s="337"/>
      <c r="I19" s="337"/>
      <c r="J19" s="33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s="38" customFormat="1" ht="15" customHeight="1">
      <c r="A20" s="47" t="s">
        <v>9</v>
      </c>
      <c r="B20" s="353">
        <f>Proposta!H18</f>
        <v>0</v>
      </c>
      <c r="C20" s="354"/>
      <c r="D20" s="354"/>
      <c r="E20" s="355"/>
      <c r="F20" s="47" t="s">
        <v>21</v>
      </c>
      <c r="G20" s="325">
        <f>Proposta!H21</f>
        <v>0</v>
      </c>
      <c r="H20" s="326"/>
      <c r="I20" s="326"/>
      <c r="J20" s="327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" customHeight="1">
      <c r="A21" s="48" t="s">
        <v>167</v>
      </c>
      <c r="B21" s="336">
        <f>Proposta!B21</f>
        <v>0</v>
      </c>
      <c r="C21" s="337"/>
      <c r="D21" s="337"/>
      <c r="E21" s="337"/>
      <c r="F21" s="337"/>
      <c r="G21" s="337"/>
      <c r="H21" s="337"/>
      <c r="I21" s="337"/>
      <c r="J21" s="33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" customHeight="1">
      <c r="A22" s="48" t="s">
        <v>172</v>
      </c>
      <c r="B22" s="336">
        <f>Proposta!B23</f>
        <v>0</v>
      </c>
      <c r="C22" s="337"/>
      <c r="D22" s="337"/>
      <c r="E22" s="338"/>
      <c r="F22" s="56" t="s">
        <v>169</v>
      </c>
      <c r="G22" s="336">
        <f>Proposta!B19</f>
        <v>0</v>
      </c>
      <c r="H22" s="337"/>
      <c r="I22" s="337"/>
      <c r="J22" s="33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customHeight="1">
      <c r="A23" s="48" t="s">
        <v>170</v>
      </c>
      <c r="B23" s="324">
        <f>Proposta!H22</f>
        <v>0</v>
      </c>
      <c r="C23" s="321"/>
      <c r="D23" s="321"/>
      <c r="E23" s="322"/>
      <c r="F23" s="48" t="s">
        <v>171</v>
      </c>
      <c r="G23" s="336">
        <f>Proposta!H23</f>
        <v>0</v>
      </c>
      <c r="H23" s="337"/>
      <c r="I23" s="337"/>
      <c r="J23" s="338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6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8" customHeight="1">
      <c r="A25" s="349" t="s">
        <v>173</v>
      </c>
      <c r="B25" s="350"/>
      <c r="C25" s="350"/>
      <c r="D25" s="350"/>
      <c r="E25" s="350"/>
      <c r="F25" s="350"/>
      <c r="G25" s="350"/>
      <c r="H25" s="350"/>
      <c r="I25" s="350"/>
      <c r="J25" s="35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.75" customHeight="1">
      <c r="A26" s="341" t="s">
        <v>201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3">
      <c r="A27" s="342"/>
      <c r="B27" s="342"/>
      <c r="C27" s="342"/>
      <c r="D27" s="342"/>
      <c r="E27" s="342"/>
      <c r="F27" s="342"/>
      <c r="G27" s="342"/>
      <c r="H27" s="342"/>
      <c r="I27" s="342"/>
      <c r="J27" s="342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s="61" customFormat="1" ht="13">
      <c r="A28" s="342"/>
      <c r="B28" s="342"/>
      <c r="C28" s="342"/>
      <c r="D28" s="342"/>
      <c r="E28" s="342"/>
      <c r="F28" s="342"/>
      <c r="G28" s="342"/>
      <c r="H28" s="342"/>
      <c r="I28" s="342"/>
      <c r="J28" s="342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s="61" customFormat="1" ht="13">
      <c r="A29" s="342"/>
      <c r="B29" s="342"/>
      <c r="C29" s="342"/>
      <c r="D29" s="342"/>
      <c r="E29" s="342"/>
      <c r="F29" s="342"/>
      <c r="G29" s="342"/>
      <c r="H29" s="342"/>
      <c r="I29" s="342"/>
      <c r="J29" s="342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s="61" customFormat="1" ht="13">
      <c r="A30" s="342"/>
      <c r="B30" s="342"/>
      <c r="C30" s="342"/>
      <c r="D30" s="342"/>
      <c r="E30" s="342"/>
      <c r="F30" s="342"/>
      <c r="G30" s="342"/>
      <c r="H30" s="342"/>
      <c r="I30" s="342"/>
      <c r="J30" s="342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s="61" customFormat="1" ht="13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s="61" customFormat="1" ht="6.75" customHeight="1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30" customHeight="1">
      <c r="A33" s="323" t="s">
        <v>135</v>
      </c>
      <c r="B33" s="322"/>
      <c r="C33" s="343">
        <f>Proposta!B28</f>
        <v>0</v>
      </c>
      <c r="D33" s="321"/>
      <c r="E33" s="321"/>
      <c r="F33" s="321"/>
      <c r="G33" s="321"/>
      <c r="H33" s="321"/>
      <c r="I33" s="321"/>
      <c r="J33" s="322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30" customHeight="1">
      <c r="A34" s="63" t="s">
        <v>174</v>
      </c>
      <c r="B34" s="344">
        <f>Proposta!F28</f>
        <v>0</v>
      </c>
      <c r="C34" s="348"/>
      <c r="D34" s="345"/>
      <c r="E34" s="344" t="s">
        <v>175</v>
      </c>
      <c r="F34" s="345"/>
      <c r="G34" s="63">
        <f>Proposta!H28</f>
        <v>0</v>
      </c>
      <c r="H34" s="64" t="s">
        <v>176</v>
      </c>
      <c r="I34" s="346">
        <f>Proposta!E56</f>
        <v>0</v>
      </c>
      <c r="J34" s="347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.75" customHeight="1">
      <c r="A35" s="290" t="s">
        <v>195</v>
      </c>
      <c r="B35" s="291"/>
      <c r="C35" s="291"/>
      <c r="D35" s="291"/>
      <c r="E35" s="291"/>
      <c r="F35" s="291"/>
      <c r="G35" s="291"/>
      <c r="H35" s="291"/>
      <c r="I35" s="291"/>
      <c r="J35" s="292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s="61" customFormat="1" ht="12.75" customHeight="1">
      <c r="A36" s="293"/>
      <c r="B36" s="289"/>
      <c r="C36" s="289"/>
      <c r="D36" s="289"/>
      <c r="E36" s="289"/>
      <c r="F36" s="289"/>
      <c r="G36" s="289"/>
      <c r="H36" s="289"/>
      <c r="I36" s="289"/>
      <c r="J36" s="294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8.5" customHeight="1">
      <c r="A37" s="295">
        <f>Proposta!E54</f>
        <v>0</v>
      </c>
      <c r="B37" s="296"/>
      <c r="C37" s="297">
        <f>Proposta!E58</f>
        <v>0</v>
      </c>
      <c r="D37" s="297"/>
      <c r="E37" s="297"/>
      <c r="F37" s="297"/>
      <c r="G37" s="297"/>
      <c r="H37" s="297"/>
      <c r="I37" s="297"/>
      <c r="J37" s="298"/>
      <c r="K37" s="45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" customHeight="1">
      <c r="A38" s="288" t="s">
        <v>196</v>
      </c>
      <c r="B38" s="288"/>
      <c r="C38" s="288"/>
      <c r="D38" s="288"/>
      <c r="E38" s="288"/>
      <c r="F38" s="288"/>
      <c r="G38" s="288"/>
      <c r="H38" s="288"/>
      <c r="I38" s="288"/>
      <c r="J38" s="288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s="61" customFormat="1" ht="15" customHeight="1">
      <c r="A39" s="289" t="s">
        <v>200</v>
      </c>
      <c r="B39" s="289"/>
      <c r="C39" s="289"/>
      <c r="D39" s="289"/>
      <c r="E39" s="289"/>
      <c r="F39" s="289"/>
      <c r="G39" s="289"/>
      <c r="H39" s="289"/>
      <c r="I39" s="289"/>
      <c r="J39" s="289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s="61" customFormat="1" ht="15" customHeight="1" thickBot="1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s="66" customFormat="1" ht="21.75" customHeight="1" thickBot="1">
      <c r="A41" s="100"/>
      <c r="B41" s="104" t="s">
        <v>177</v>
      </c>
      <c r="C41" s="279" t="s">
        <v>178</v>
      </c>
      <c r="D41" s="279"/>
      <c r="E41" s="279" t="s">
        <v>179</v>
      </c>
      <c r="F41" s="279"/>
      <c r="G41" s="279" t="s">
        <v>180</v>
      </c>
      <c r="H41" s="280"/>
      <c r="I41" s="101"/>
      <c r="J41" s="101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s="66" customFormat="1" ht="17" customHeight="1">
      <c r="A42" s="67"/>
      <c r="B42" s="166"/>
      <c r="C42" s="286"/>
      <c r="D42" s="286"/>
      <c r="E42" s="285"/>
      <c r="F42" s="285"/>
      <c r="G42" s="281"/>
      <c r="H42" s="282"/>
      <c r="I42" s="101"/>
      <c r="J42" s="101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s="66" customFormat="1" ht="17" customHeight="1">
      <c r="A43" s="67"/>
      <c r="B43" s="166"/>
      <c r="C43" s="286"/>
      <c r="D43" s="286"/>
      <c r="E43" s="285"/>
      <c r="F43" s="285"/>
      <c r="G43" s="281"/>
      <c r="H43" s="282"/>
      <c r="I43" s="101"/>
      <c r="J43" s="101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s="66" customFormat="1" ht="17" customHeight="1">
      <c r="A44" s="67"/>
      <c r="B44" s="166"/>
      <c r="C44" s="286"/>
      <c r="D44" s="286"/>
      <c r="E44" s="285"/>
      <c r="F44" s="285"/>
      <c r="G44" s="281"/>
      <c r="H44" s="282"/>
      <c r="I44" s="101"/>
      <c r="J44" s="101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s="66" customFormat="1" ht="17" customHeight="1">
      <c r="A45" s="67"/>
      <c r="B45" s="102"/>
      <c r="C45" s="287"/>
      <c r="D45" s="287"/>
      <c r="E45" s="360"/>
      <c r="F45" s="360"/>
      <c r="G45" s="283"/>
      <c r="H45" s="284"/>
      <c r="I45" s="101"/>
      <c r="J45" s="101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s="66" customFormat="1" ht="17" customHeight="1">
      <c r="A46" s="67"/>
      <c r="B46" s="102"/>
      <c r="C46" s="287"/>
      <c r="D46" s="287"/>
      <c r="E46" s="360"/>
      <c r="F46" s="360"/>
      <c r="G46" s="283"/>
      <c r="H46" s="284"/>
      <c r="I46" s="101"/>
      <c r="J46" s="101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s="66" customFormat="1" ht="17" customHeight="1" thickBot="1">
      <c r="A47" s="67"/>
      <c r="B47" s="103"/>
      <c r="C47" s="356"/>
      <c r="D47" s="356"/>
      <c r="E47" s="357"/>
      <c r="F47" s="357"/>
      <c r="G47" s="358"/>
      <c r="H47" s="359"/>
      <c r="I47" s="101"/>
      <c r="J47" s="101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s="38" customFormat="1" ht="15" customHeight="1">
      <c r="A48" s="57"/>
      <c r="B48" s="57"/>
      <c r="C48" s="58"/>
      <c r="D48" s="59"/>
      <c r="E48" s="58"/>
      <c r="F48" s="57"/>
      <c r="G48" s="58"/>
      <c r="H48" s="57"/>
      <c r="I48" s="58"/>
      <c r="J48" s="58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s="164" customFormat="1" ht="12.75" customHeight="1">
      <c r="A49" s="161" t="s">
        <v>227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</row>
    <row r="50" spans="1:26" ht="12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s="61" customFormat="1" ht="12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9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>
      <c r="A54" s="303" t="s">
        <v>197</v>
      </c>
      <c r="B54" s="303"/>
      <c r="C54" s="303"/>
      <c r="D54" s="303"/>
      <c r="E54" s="303"/>
      <c r="F54" s="303"/>
      <c r="G54" s="303"/>
      <c r="H54" s="303"/>
      <c r="I54" s="303"/>
      <c r="J54" s="303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s="61" customFormat="1" ht="9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" customHeight="1">
      <c r="A57" s="304" t="s">
        <v>181</v>
      </c>
      <c r="B57" s="300"/>
      <c r="C57" s="304" t="s">
        <v>182</v>
      </c>
      <c r="D57" s="300"/>
      <c r="E57" s="300"/>
      <c r="F57" s="300"/>
      <c r="G57" s="71" t="s">
        <v>183</v>
      </c>
      <c r="H57" s="71" t="s">
        <v>193</v>
      </c>
      <c r="I57" s="304" t="s">
        <v>192</v>
      </c>
      <c r="J57" s="30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" customHeight="1">
      <c r="A58" s="299" t="s">
        <v>152</v>
      </c>
      <c r="B58" s="300"/>
      <c r="C58" s="301">
        <f>Proposta!B71</f>
        <v>0</v>
      </c>
      <c r="D58" s="300"/>
      <c r="E58" s="300"/>
      <c r="F58" s="300"/>
      <c r="G58" s="72">
        <f>Proposta!D71</f>
        <v>0</v>
      </c>
      <c r="H58" s="160">
        <v>0.3</v>
      </c>
      <c r="I58" s="302">
        <f>$A$37*H58</f>
        <v>0</v>
      </c>
      <c r="J58" s="30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" customHeight="1">
      <c r="A59" s="299" t="s">
        <v>157</v>
      </c>
      <c r="B59" s="300"/>
      <c r="C59" s="301">
        <f>Proposta!F71</f>
        <v>0</v>
      </c>
      <c r="D59" s="300"/>
      <c r="E59" s="300"/>
      <c r="F59" s="300"/>
      <c r="G59" s="72">
        <f>Proposta!I71</f>
        <v>0</v>
      </c>
      <c r="H59" s="160">
        <v>0.14000000000000001</v>
      </c>
      <c r="I59" s="302">
        <f t="shared" ref="I59:I61" si="0">$A$37*H59</f>
        <v>0</v>
      </c>
      <c r="J59" s="30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" customHeight="1">
      <c r="A60" s="73" t="s">
        <v>184</v>
      </c>
      <c r="B60" s="74"/>
      <c r="C60" s="307" t="s">
        <v>221</v>
      </c>
      <c r="D60" s="308"/>
      <c r="E60" s="308"/>
      <c r="F60" s="308"/>
      <c r="G60" s="75">
        <v>24782</v>
      </c>
      <c r="H60" s="160">
        <v>0.05</v>
      </c>
      <c r="I60" s="302">
        <f t="shared" si="0"/>
        <v>0</v>
      </c>
      <c r="J60" s="30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" customHeight="1">
      <c r="A61" s="310" t="s">
        <v>184</v>
      </c>
      <c r="B61" s="300"/>
      <c r="C61" s="307" t="s">
        <v>222</v>
      </c>
      <c r="D61" s="308"/>
      <c r="E61" s="308"/>
      <c r="F61" s="308"/>
      <c r="G61" s="75">
        <v>10102</v>
      </c>
      <c r="H61" s="160">
        <v>0.05</v>
      </c>
      <c r="I61" s="302">
        <f t="shared" si="0"/>
        <v>0</v>
      </c>
      <c r="J61" s="30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" customHeight="1">
      <c r="A62" s="299" t="s">
        <v>160</v>
      </c>
      <c r="B62" s="300"/>
      <c r="C62" s="307"/>
      <c r="D62" s="308"/>
      <c r="E62" s="308"/>
      <c r="F62" s="308"/>
      <c r="G62" s="75"/>
      <c r="H62" s="160"/>
      <c r="I62" s="302"/>
      <c r="J62" s="30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" customHeight="1">
      <c r="A63" s="299" t="s">
        <v>185</v>
      </c>
      <c r="B63" s="300"/>
      <c r="C63" s="309" t="s">
        <v>223</v>
      </c>
      <c r="D63" s="308"/>
      <c r="E63" s="308"/>
      <c r="F63" s="308"/>
      <c r="G63" s="75">
        <v>29886</v>
      </c>
      <c r="H63" s="170">
        <v>0.46</v>
      </c>
      <c r="I63" s="302">
        <f>$A$37*H63</f>
        <v>0</v>
      </c>
      <c r="J63" s="30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s="61" customFormat="1" ht="12" customHeight="1">
      <c r="A65" s="306" t="s">
        <v>199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s="61" customFormat="1" ht="12" customHeight="1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s="61" customFormat="1" ht="12" customHeight="1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s="61" customFormat="1" ht="12" customHeight="1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s="61" customFormat="1" ht="12" customHeight="1">
      <c r="A69" s="306"/>
      <c r="B69" s="306"/>
      <c r="C69" s="306"/>
      <c r="D69" s="306"/>
      <c r="E69" s="306"/>
      <c r="F69" s="306"/>
      <c r="G69" s="306"/>
      <c r="H69" s="306"/>
      <c r="I69" s="306"/>
      <c r="J69" s="306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s="61" customFormat="1" ht="12" customHeight="1">
      <c r="A70" s="306"/>
      <c r="B70" s="306"/>
      <c r="C70" s="306"/>
      <c r="D70" s="306"/>
      <c r="E70" s="306"/>
      <c r="F70" s="306"/>
      <c r="G70" s="306"/>
      <c r="H70" s="306"/>
      <c r="I70" s="306"/>
      <c r="J70" s="306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s="61" customFormat="1" ht="12" customHeight="1">
      <c r="A71" s="306"/>
      <c r="B71" s="306"/>
      <c r="C71" s="306"/>
      <c r="D71" s="306"/>
      <c r="E71" s="306"/>
      <c r="F71" s="306"/>
      <c r="G71" s="306"/>
      <c r="H71" s="306"/>
      <c r="I71" s="306"/>
      <c r="J71" s="306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s="61" customFormat="1" ht="12" customHeight="1">
      <c r="A72" s="306"/>
      <c r="B72" s="306"/>
      <c r="C72" s="306"/>
      <c r="D72" s="306"/>
      <c r="E72" s="306"/>
      <c r="F72" s="306"/>
      <c r="G72" s="306"/>
      <c r="H72" s="306"/>
      <c r="I72" s="306"/>
      <c r="J72" s="306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s="61" customFormat="1" ht="12" customHeight="1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s="61" customFormat="1" ht="12" customHeight="1">
      <c r="A74" s="306"/>
      <c r="B74" s="306"/>
      <c r="C74" s="306"/>
      <c r="D74" s="306"/>
      <c r="E74" s="306"/>
      <c r="F74" s="306"/>
      <c r="G74" s="306"/>
      <c r="H74" s="306"/>
      <c r="I74" s="306"/>
      <c r="J74" s="306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s="61" customFormat="1" ht="12" customHeight="1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s="61" customFormat="1" ht="12" customHeight="1">
      <c r="A76" s="306"/>
      <c r="B76" s="306"/>
      <c r="C76" s="306"/>
      <c r="D76" s="306"/>
      <c r="E76" s="306"/>
      <c r="F76" s="306"/>
      <c r="G76" s="306"/>
      <c r="H76" s="306"/>
      <c r="I76" s="306"/>
      <c r="J76" s="306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s="61" customFormat="1" ht="12" customHeight="1">
      <c r="A77" s="306"/>
      <c r="B77" s="306"/>
      <c r="C77" s="306"/>
      <c r="D77" s="306"/>
      <c r="E77" s="306"/>
      <c r="F77" s="306"/>
      <c r="G77" s="306"/>
      <c r="H77" s="306"/>
      <c r="I77" s="306"/>
      <c r="J77" s="306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s="61" customFormat="1" ht="12" customHeight="1">
      <c r="A78" s="306"/>
      <c r="B78" s="306"/>
      <c r="C78" s="306"/>
      <c r="D78" s="306"/>
      <c r="E78" s="306"/>
      <c r="F78" s="306"/>
      <c r="G78" s="306"/>
      <c r="H78" s="306"/>
      <c r="I78" s="306"/>
      <c r="J78" s="306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s="61" customFormat="1" ht="12" customHeight="1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s="61" customFormat="1" ht="12" customHeight="1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s="61" customFormat="1" ht="12" customHeight="1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s="61" customFormat="1" ht="12" customHeight="1">
      <c r="A82" s="306"/>
      <c r="B82" s="306"/>
      <c r="C82" s="306"/>
      <c r="D82" s="306"/>
      <c r="E82" s="306"/>
      <c r="F82" s="306"/>
      <c r="G82" s="306"/>
      <c r="H82" s="306"/>
      <c r="I82" s="306"/>
      <c r="J82" s="306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s="61" customFormat="1" ht="12" customHeight="1">
      <c r="A83" s="306"/>
      <c r="B83" s="306"/>
      <c r="C83" s="306"/>
      <c r="D83" s="306"/>
      <c r="E83" s="306"/>
      <c r="F83" s="306"/>
      <c r="G83" s="306"/>
      <c r="H83" s="306"/>
      <c r="I83" s="306"/>
      <c r="J83" s="306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s="61" customFormat="1" ht="12" customHeight="1">
      <c r="A84" s="306"/>
      <c r="B84" s="306"/>
      <c r="C84" s="306"/>
      <c r="D84" s="306"/>
      <c r="E84" s="306"/>
      <c r="F84" s="306"/>
      <c r="G84" s="306"/>
      <c r="H84" s="306"/>
      <c r="I84" s="306"/>
      <c r="J84" s="306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s="61" customFormat="1" ht="12" customHeight="1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s="61" customFormat="1" ht="12" customHeight="1">
      <c r="A86" s="306"/>
      <c r="B86" s="306"/>
      <c r="C86" s="306"/>
      <c r="D86" s="306"/>
      <c r="E86" s="306"/>
      <c r="F86" s="306"/>
      <c r="G86" s="306"/>
      <c r="H86" s="306"/>
      <c r="I86" s="306"/>
      <c r="J86" s="306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s="61" customFormat="1" ht="12" customHeight="1">
      <c r="A87" s="306"/>
      <c r="B87" s="306"/>
      <c r="C87" s="306"/>
      <c r="D87" s="306"/>
      <c r="E87" s="306"/>
      <c r="F87" s="306"/>
      <c r="G87" s="306"/>
      <c r="H87" s="306"/>
      <c r="I87" s="306"/>
      <c r="J87" s="306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s="61" customFormat="1" ht="12" customHeight="1">
      <c r="A88" s="306"/>
      <c r="B88" s="306"/>
      <c r="C88" s="306"/>
      <c r="D88" s="306"/>
      <c r="E88" s="306"/>
      <c r="F88" s="306"/>
      <c r="G88" s="306"/>
      <c r="H88" s="306"/>
      <c r="I88" s="306"/>
      <c r="J88" s="306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s="61" customFormat="1" ht="12" customHeight="1">
      <c r="A89" s="306"/>
      <c r="B89" s="306"/>
      <c r="C89" s="306"/>
      <c r="D89" s="306"/>
      <c r="E89" s="306"/>
      <c r="F89" s="306"/>
      <c r="G89" s="306"/>
      <c r="H89" s="306"/>
      <c r="I89" s="306"/>
      <c r="J89" s="306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s="61" customFormat="1" ht="12" customHeight="1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s="61" customFormat="1" ht="12" customHeight="1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s="61" customFormat="1" ht="12" customHeight="1">
      <c r="A92" s="306"/>
      <c r="B92" s="306"/>
      <c r="C92" s="306"/>
      <c r="D92" s="306"/>
      <c r="E92" s="306"/>
      <c r="F92" s="306"/>
      <c r="G92" s="306"/>
      <c r="H92" s="306"/>
      <c r="I92" s="306"/>
      <c r="J92" s="306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s="61" customFormat="1" ht="12" customHeight="1">
      <c r="A93" s="306"/>
      <c r="B93" s="306"/>
      <c r="C93" s="306"/>
      <c r="D93" s="306"/>
      <c r="E93" s="306"/>
      <c r="F93" s="306"/>
      <c r="G93" s="306"/>
      <c r="H93" s="306"/>
      <c r="I93" s="306"/>
      <c r="J93" s="306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s="61" customFormat="1" ht="12" customHeight="1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s="61" customFormat="1" ht="12" customHeight="1">
      <c r="A95" s="306"/>
      <c r="B95" s="306"/>
      <c r="C95" s="306"/>
      <c r="D95" s="306"/>
      <c r="E95" s="306"/>
      <c r="F95" s="306"/>
      <c r="G95" s="306"/>
      <c r="H95" s="306"/>
      <c r="I95" s="306"/>
      <c r="J95" s="306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s="61" customFormat="1" ht="11.25" customHeight="1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s="61" customFormat="1" ht="12" customHeight="1">
      <c r="A97" s="306"/>
      <c r="B97" s="306"/>
      <c r="C97" s="306"/>
      <c r="D97" s="306"/>
      <c r="E97" s="306"/>
      <c r="F97" s="306"/>
      <c r="G97" s="306"/>
      <c r="H97" s="306"/>
      <c r="I97" s="306"/>
      <c r="J97" s="306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s="61" customFormat="1" ht="12" customHeight="1">
      <c r="A98" s="306"/>
      <c r="B98" s="306"/>
      <c r="C98" s="306"/>
      <c r="D98" s="306"/>
      <c r="E98" s="306"/>
      <c r="F98" s="306"/>
      <c r="G98" s="306"/>
      <c r="H98" s="306"/>
      <c r="I98" s="306"/>
      <c r="J98" s="306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s="61" customFormat="1" ht="9" customHeight="1">
      <c r="A99" s="306"/>
      <c r="B99" s="306"/>
      <c r="C99" s="306"/>
      <c r="D99" s="306"/>
      <c r="E99" s="306"/>
      <c r="F99" s="306"/>
      <c r="G99" s="306"/>
      <c r="H99" s="306"/>
      <c r="I99" s="306"/>
      <c r="J99" s="306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s="61" customFormat="1" ht="9" customHeight="1">
      <c r="A100" s="306"/>
      <c r="B100" s="306"/>
      <c r="C100" s="306"/>
      <c r="D100" s="306"/>
      <c r="E100" s="306"/>
      <c r="F100" s="306"/>
      <c r="G100" s="306"/>
      <c r="H100" s="306"/>
      <c r="I100" s="306"/>
      <c r="J100" s="306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" customHeight="1">
      <c r="A101" s="306"/>
      <c r="B101" s="306"/>
      <c r="C101" s="306"/>
      <c r="D101" s="306"/>
      <c r="E101" s="306"/>
      <c r="F101" s="306"/>
      <c r="G101" s="306"/>
      <c r="H101" s="306"/>
      <c r="I101" s="306"/>
      <c r="J101" s="306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s="61" customFormat="1" ht="15" customHeight="1">
      <c r="A102" s="306"/>
      <c r="B102" s="306"/>
      <c r="C102" s="306"/>
      <c r="D102" s="306"/>
      <c r="E102" s="306"/>
      <c r="F102" s="306"/>
      <c r="G102" s="306"/>
      <c r="H102" s="306"/>
      <c r="I102" s="306"/>
      <c r="J102" s="306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s="61" customFormat="1" ht="15" customHeight="1">
      <c r="A103" s="306"/>
      <c r="B103" s="306"/>
      <c r="C103" s="306"/>
      <c r="D103" s="306"/>
      <c r="E103" s="306"/>
      <c r="F103" s="306"/>
      <c r="G103" s="306"/>
      <c r="H103" s="306"/>
      <c r="I103" s="306"/>
      <c r="J103" s="306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s="164" customFormat="1" ht="12.75" customHeight="1">
      <c r="A104" s="161" t="s">
        <v>228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 spans="1:26" ht="12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0.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s="61" customFormat="1" ht="14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s="61" customFormat="1" ht="14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s="61" customFormat="1" ht="14" customHeight="1">
      <c r="A110" s="305" t="s">
        <v>198</v>
      </c>
      <c r="B110" s="305"/>
      <c r="C110" s="305"/>
      <c r="D110" s="305"/>
      <c r="E110" s="305"/>
      <c r="F110" s="305"/>
      <c r="G110" s="305"/>
      <c r="H110" s="305"/>
      <c r="I110" s="305"/>
      <c r="J110" s="305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s="61" customFormat="1" ht="14" customHeight="1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s="61" customFormat="1" ht="14" customHeight="1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" customHeight="1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s="61" customFormat="1" ht="14" customHeight="1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s="61" customFormat="1" ht="14" customHeight="1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s="61" customFormat="1" ht="14" customHeight="1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s="61" customFormat="1" ht="14" customHeight="1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s="61" customFormat="1" ht="14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s="61" customFormat="1" ht="14" customHeight="1">
      <c r="A119" s="306" t="s">
        <v>186</v>
      </c>
      <c r="B119" s="306"/>
      <c r="C119" s="306"/>
      <c r="D119" s="306"/>
      <c r="E119" s="306"/>
      <c r="F119" s="306"/>
      <c r="G119" s="306"/>
      <c r="H119" s="306"/>
      <c r="I119" s="306"/>
      <c r="J119" s="306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s="61" customFormat="1" ht="14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s="61" customFormat="1" ht="14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" customHeight="1">
      <c r="A122" s="46"/>
      <c r="B122" s="46"/>
      <c r="C122" s="46"/>
      <c r="D122" s="46"/>
      <c r="E122" s="46"/>
      <c r="F122" s="46"/>
      <c r="G122" s="50"/>
      <c r="H122" s="51" t="s">
        <v>187</v>
      </c>
      <c r="I122" s="313">
        <f ca="1">Proposta!C74</f>
        <v>44858</v>
      </c>
      <c r="J122" s="314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" customHeight="1">
      <c r="A124" s="52"/>
      <c r="B124" s="52"/>
      <c r="C124" s="52"/>
      <c r="D124" s="52"/>
      <c r="E124" s="52"/>
      <c r="F124" s="52"/>
      <c r="G124" s="52"/>
      <c r="H124" s="46"/>
      <c r="I124" s="46"/>
      <c r="J124" s="46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" customHeight="1">
      <c r="A125" s="316" t="s">
        <v>188</v>
      </c>
      <c r="B125" s="316"/>
      <c r="C125" s="317">
        <f>Proposta!B4</f>
        <v>0</v>
      </c>
      <c r="D125" s="317"/>
      <c r="E125" s="317"/>
      <c r="F125" s="317"/>
      <c r="G125" s="317"/>
      <c r="H125" s="46"/>
      <c r="I125" s="46"/>
      <c r="J125" s="46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" customHeight="1">
      <c r="A128" s="52"/>
      <c r="B128" s="52"/>
      <c r="C128" s="52"/>
      <c r="D128" s="52"/>
      <c r="E128" s="52"/>
      <c r="F128" s="52"/>
      <c r="G128" s="52"/>
      <c r="H128" s="46"/>
      <c r="I128" s="46"/>
      <c r="J128" s="46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" customHeight="1">
      <c r="A129" s="316" t="s">
        <v>191</v>
      </c>
      <c r="B129" s="316"/>
      <c r="C129" s="317">
        <f>Proposta!B16</f>
        <v>0</v>
      </c>
      <c r="D129" s="317"/>
      <c r="E129" s="317"/>
      <c r="F129" s="317"/>
      <c r="G129" s="317"/>
      <c r="H129" s="46"/>
      <c r="I129" s="46"/>
      <c r="J129" s="46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s="61" customFormat="1" ht="14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" customHeight="1">
      <c r="A133" s="315" t="s">
        <v>152</v>
      </c>
      <c r="B133" s="315"/>
      <c r="C133" s="318">
        <f>Proposta!B71</f>
        <v>0</v>
      </c>
      <c r="D133" s="318"/>
      <c r="E133" s="318"/>
      <c r="F133" s="318"/>
      <c r="G133" s="318"/>
      <c r="H133" s="46"/>
      <c r="I133" s="46"/>
      <c r="J133" s="46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" customHeight="1">
      <c r="A134" s="53"/>
      <c r="B134" s="53"/>
      <c r="C134" s="53"/>
      <c r="D134" s="53"/>
      <c r="E134" s="53"/>
      <c r="F134" s="46"/>
      <c r="G134" s="46"/>
      <c r="H134" s="46"/>
      <c r="I134" s="46"/>
      <c r="J134" s="46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" customHeight="1">
      <c r="A135" s="53"/>
      <c r="B135" s="53"/>
      <c r="C135" s="53"/>
      <c r="D135" s="53"/>
      <c r="E135" s="53"/>
      <c r="F135" s="46"/>
      <c r="G135" s="46"/>
      <c r="H135" s="46"/>
      <c r="I135" s="46"/>
      <c r="J135" s="46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" customHeight="1">
      <c r="A137" s="315" t="s">
        <v>157</v>
      </c>
      <c r="B137" s="315"/>
      <c r="C137" s="318">
        <f>Proposta!F71</f>
        <v>0</v>
      </c>
      <c r="D137" s="318"/>
      <c r="E137" s="318"/>
      <c r="F137" s="318"/>
      <c r="G137" s="318"/>
      <c r="H137" s="46"/>
      <c r="I137" s="46"/>
      <c r="J137" s="46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" customHeight="1">
      <c r="A138" s="53"/>
      <c r="B138" s="53"/>
      <c r="C138" s="53"/>
      <c r="D138" s="53"/>
      <c r="E138" s="53"/>
      <c r="F138" s="46"/>
      <c r="G138" s="46"/>
      <c r="H138" s="46"/>
      <c r="I138" s="46"/>
      <c r="J138" s="46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" customHeight="1">
      <c r="A139" s="53"/>
      <c r="B139" s="53"/>
      <c r="C139" s="53"/>
      <c r="D139" s="53"/>
      <c r="E139" s="53"/>
      <c r="F139" s="46"/>
      <c r="G139" s="46"/>
      <c r="H139" s="46"/>
      <c r="I139" s="46"/>
      <c r="J139" s="46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" customHeight="1">
      <c r="A141" s="311" t="s">
        <v>229</v>
      </c>
      <c r="B141" s="312"/>
      <c r="C141" s="312"/>
      <c r="D141" s="312"/>
      <c r="E141" s="312"/>
      <c r="F141" s="312"/>
      <c r="G141" s="312"/>
      <c r="H141" s="46"/>
      <c r="I141" s="46"/>
      <c r="J141" s="4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" customHeight="1">
      <c r="A144" s="46" t="s">
        <v>203</v>
      </c>
      <c r="B144" s="46"/>
      <c r="C144" s="54"/>
      <c r="D144" s="54"/>
      <c r="E144" s="54"/>
      <c r="F144" s="54"/>
      <c r="G144" s="54"/>
      <c r="H144" s="46"/>
      <c r="I144" s="46"/>
      <c r="J144" s="46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" customHeight="1">
      <c r="A145" s="46"/>
      <c r="B145" s="46" t="s">
        <v>134</v>
      </c>
      <c r="C145" s="55"/>
      <c r="D145" s="55"/>
      <c r="E145" s="55"/>
      <c r="F145" s="55"/>
      <c r="G145" s="55"/>
      <c r="H145" s="46"/>
      <c r="I145" s="46"/>
      <c r="J145" s="46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" customHeight="1">
      <c r="A147" s="46" t="s">
        <v>202</v>
      </c>
      <c r="B147" s="46"/>
      <c r="C147" s="54"/>
      <c r="D147" s="54"/>
      <c r="E147" s="54"/>
      <c r="F147" s="54"/>
      <c r="G147" s="54"/>
      <c r="H147" s="46"/>
      <c r="I147" s="46"/>
      <c r="J147" s="46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" customHeight="1">
      <c r="A148" s="46"/>
      <c r="B148" s="46" t="s">
        <v>134</v>
      </c>
      <c r="C148" s="55"/>
      <c r="D148" s="55"/>
      <c r="E148" s="55"/>
      <c r="F148" s="55"/>
      <c r="G148" s="55"/>
      <c r="H148" s="46"/>
      <c r="I148" s="46"/>
      <c r="J148" s="46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" customHeight="1">
      <c r="A150" s="49"/>
      <c r="B150" s="46"/>
      <c r="C150" s="46"/>
      <c r="D150" s="46"/>
      <c r="E150" s="46"/>
      <c r="F150" s="46"/>
      <c r="G150" s="46"/>
      <c r="H150" s="46"/>
      <c r="I150" s="46"/>
      <c r="J150" s="46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6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8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6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6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6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6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 customHeight="1"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 customHeight="1"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1:26" ht="12.75" customHeight="1"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1:26" ht="12.75" customHeight="1"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1:26" ht="12.75" customHeight="1"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1:26" ht="12.75" customHeight="1"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1:26" ht="12.75" customHeight="1"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1:26" ht="12.75" customHeight="1"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1:26" ht="12.75" customHeight="1"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1:26" ht="12.75" customHeight="1"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1:26" ht="12.75" customHeight="1"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1:26" ht="12.75" customHeight="1"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1:26" ht="12.75" customHeight="1"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1:26" ht="12.75" customHeight="1"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1:26" ht="12.75" customHeight="1"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1:26" ht="12.75" customHeight="1"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1:26" ht="12.75" customHeight="1"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1:26" ht="12.75" customHeight="1"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1:26" ht="12.75" customHeight="1"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1:26" ht="12.75" customHeight="1"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1:26" ht="12.75" customHeight="1"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1:26" ht="12.75" customHeight="1"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1:26" ht="12.75" customHeight="1"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1:26" ht="12.75" customHeight="1"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1:26" ht="12.75" customHeight="1"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1:26" ht="12.75" customHeight="1"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1:26" ht="12.75" customHeight="1"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1:26" ht="12.75" customHeight="1"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1:26" ht="12.75" customHeight="1"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1:26" ht="12.75" customHeight="1"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1:26" ht="12.75" customHeight="1"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1:26" ht="12.75" customHeight="1"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1:26" ht="12.75" customHeight="1"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1:26" ht="12.75" customHeight="1"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sheetProtection selectLockedCells="1"/>
  <mergeCells count="89">
    <mergeCell ref="C47:D47"/>
    <mergeCell ref="C43:D43"/>
    <mergeCell ref="C44:D44"/>
    <mergeCell ref="G43:H43"/>
    <mergeCell ref="G44:H44"/>
    <mergeCell ref="E47:F47"/>
    <mergeCell ref="G46:H46"/>
    <mergeCell ref="G47:H47"/>
    <mergeCell ref="C46:D46"/>
    <mergeCell ref="E45:F45"/>
    <mergeCell ref="E46:F46"/>
    <mergeCell ref="E43:F43"/>
    <mergeCell ref="E44:F44"/>
    <mergeCell ref="B23:E23"/>
    <mergeCell ref="G23:J23"/>
    <mergeCell ref="A25:J25"/>
    <mergeCell ref="A18:J18"/>
    <mergeCell ref="A19:B19"/>
    <mergeCell ref="B20:E20"/>
    <mergeCell ref="B22:E22"/>
    <mergeCell ref="C19:J19"/>
    <mergeCell ref="G20:J20"/>
    <mergeCell ref="B21:J21"/>
    <mergeCell ref="G22:J22"/>
    <mergeCell ref="A26:J32"/>
    <mergeCell ref="A33:B33"/>
    <mergeCell ref="C33:J33"/>
    <mergeCell ref="E34:F34"/>
    <mergeCell ref="I34:J34"/>
    <mergeCell ref="B34:D34"/>
    <mergeCell ref="A5:J6"/>
    <mergeCell ref="A12:J12"/>
    <mergeCell ref="A13:B13"/>
    <mergeCell ref="B17:E17"/>
    <mergeCell ref="G17:J17"/>
    <mergeCell ref="C13:J13"/>
    <mergeCell ref="B14:E14"/>
    <mergeCell ref="G14:J14"/>
    <mergeCell ref="B16:E16"/>
    <mergeCell ref="B15:J15"/>
    <mergeCell ref="G16:J16"/>
    <mergeCell ref="A8:J11"/>
    <mergeCell ref="A141:G141"/>
    <mergeCell ref="I122:J122"/>
    <mergeCell ref="A133:B133"/>
    <mergeCell ref="A137:B137"/>
    <mergeCell ref="A125:B125"/>
    <mergeCell ref="A129:B129"/>
    <mergeCell ref="C125:G125"/>
    <mergeCell ref="C129:G129"/>
    <mergeCell ref="C133:G133"/>
    <mergeCell ref="C137:G137"/>
    <mergeCell ref="A110:J117"/>
    <mergeCell ref="A119:J120"/>
    <mergeCell ref="A65:J103"/>
    <mergeCell ref="C60:F60"/>
    <mergeCell ref="I60:J60"/>
    <mergeCell ref="C61:F61"/>
    <mergeCell ref="I61:J61"/>
    <mergeCell ref="A63:B63"/>
    <mergeCell ref="C63:F63"/>
    <mergeCell ref="I63:J63"/>
    <mergeCell ref="A61:B61"/>
    <mergeCell ref="A62:B62"/>
    <mergeCell ref="C62:F62"/>
    <mergeCell ref="I62:J62"/>
    <mergeCell ref="A59:B59"/>
    <mergeCell ref="C59:F59"/>
    <mergeCell ref="I59:J59"/>
    <mergeCell ref="A54:J55"/>
    <mergeCell ref="A57:B57"/>
    <mergeCell ref="C57:F57"/>
    <mergeCell ref="I57:J57"/>
    <mergeCell ref="A58:B58"/>
    <mergeCell ref="C58:F58"/>
    <mergeCell ref="I58:J58"/>
    <mergeCell ref="A38:J38"/>
    <mergeCell ref="A39:J40"/>
    <mergeCell ref="A35:J36"/>
    <mergeCell ref="A37:B37"/>
    <mergeCell ref="C37:J37"/>
    <mergeCell ref="C41:D41"/>
    <mergeCell ref="E41:F41"/>
    <mergeCell ref="G41:H41"/>
    <mergeCell ref="G42:H42"/>
    <mergeCell ref="G45:H45"/>
    <mergeCell ref="E42:F42"/>
    <mergeCell ref="C42:D42"/>
    <mergeCell ref="C45:D45"/>
  </mergeCells>
  <pageMargins left="0.7" right="0.7" top="0.75" bottom="0.75" header="0.3" footer="0.3"/>
  <pageSetup scale="91" fitToWidth="0" fitToHeight="0" orientation="portrait" r:id="rId1"/>
  <rowBreaks count="2" manualBreakCount="2">
    <brk id="49" max="16383" man="1"/>
    <brk id="104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3"/>
  <sheetViews>
    <sheetView showGridLines="0" view="pageBreakPreview" topLeftCell="A12" zoomScaleNormal="100" zoomScaleSheetLayoutView="100" workbookViewId="0">
      <selection activeCell="A2" sqref="A2"/>
    </sheetView>
  </sheetViews>
  <sheetFormatPr baseColWidth="10" defaultColWidth="8.83203125" defaultRowHeight="15"/>
  <cols>
    <col min="1" max="1" width="30.83203125" style="106" bestFit="1" customWidth="1"/>
    <col min="2" max="2" width="18.1640625" style="106" bestFit="1" customWidth="1"/>
    <col min="3" max="3" width="16.33203125" style="106" customWidth="1"/>
    <col min="4" max="4" width="14.5" style="106" customWidth="1"/>
    <col min="5" max="10" width="14.83203125" style="106" customWidth="1"/>
    <col min="11" max="11" width="19.1640625" style="106" customWidth="1"/>
    <col min="12" max="16384" width="8.83203125" style="106"/>
  </cols>
  <sheetData>
    <row r="1" spans="1:10" ht="39.75" customHeight="1" thickBot="1">
      <c r="A1" s="364" t="s">
        <v>232</v>
      </c>
      <c r="B1" s="365"/>
      <c r="C1" s="365"/>
      <c r="D1" s="365"/>
      <c r="E1" s="366"/>
      <c r="F1" s="105"/>
      <c r="G1" s="105"/>
      <c r="H1" s="105"/>
      <c r="I1" s="105"/>
      <c r="J1" s="105"/>
    </row>
    <row r="2" spans="1:10">
      <c r="A2" s="107" t="s">
        <v>204</v>
      </c>
      <c r="B2" s="367">
        <f>Intermediacao!C13</f>
        <v>0</v>
      </c>
      <c r="C2" s="368"/>
      <c r="D2" s="368"/>
      <c r="E2" s="369"/>
      <c r="F2" s="108"/>
      <c r="G2" s="108"/>
      <c r="H2" s="108"/>
      <c r="I2" s="108"/>
      <c r="J2" s="108"/>
    </row>
    <row r="3" spans="1:10">
      <c r="A3" s="109" t="s">
        <v>157</v>
      </c>
      <c r="B3" s="370">
        <f>Proposta!F71</f>
        <v>0</v>
      </c>
      <c r="C3" s="370"/>
      <c r="D3" s="370"/>
      <c r="E3" s="371"/>
      <c r="F3" s="108"/>
      <c r="G3" s="108"/>
      <c r="H3" s="108"/>
      <c r="I3" s="108"/>
      <c r="J3" s="108"/>
    </row>
    <row r="4" spans="1:10">
      <c r="A4" s="109" t="s">
        <v>218</v>
      </c>
      <c r="B4" s="370">
        <f>Proposta!B71</f>
        <v>0</v>
      </c>
      <c r="C4" s="370"/>
      <c r="D4" s="370"/>
      <c r="E4" s="371"/>
      <c r="F4" s="108"/>
      <c r="G4" s="108"/>
      <c r="H4" s="108"/>
      <c r="I4" s="108"/>
      <c r="J4" s="108"/>
    </row>
    <row r="5" spans="1:10" ht="16" thickBot="1">
      <c r="A5" s="110" t="s">
        <v>205</v>
      </c>
      <c r="B5" s="372"/>
      <c r="C5" s="372"/>
      <c r="D5" s="372"/>
      <c r="E5" s="373"/>
      <c r="F5" s="111"/>
      <c r="G5" s="111"/>
      <c r="H5" s="111"/>
      <c r="I5" s="111"/>
      <c r="J5" s="111"/>
    </row>
    <row r="6" spans="1:10" ht="16" thickBot="1"/>
    <row r="7" spans="1:10" ht="18" customHeight="1" thickBot="1">
      <c r="A7" s="374" t="s">
        <v>136</v>
      </c>
      <c r="B7" s="375"/>
      <c r="C7" s="375"/>
      <c r="D7" s="375"/>
      <c r="E7" s="376"/>
      <c r="F7" s="112"/>
      <c r="G7" s="112"/>
      <c r="H7" s="112"/>
      <c r="I7" s="112"/>
      <c r="J7" s="112"/>
    </row>
    <row r="8" spans="1:10" ht="16" thickBot="1">
      <c r="A8" s="113" t="s">
        <v>219</v>
      </c>
      <c r="B8" s="377" t="s">
        <v>206</v>
      </c>
      <c r="C8" s="378"/>
      <c r="D8" s="378"/>
      <c r="E8" s="379"/>
      <c r="F8" s="114"/>
      <c r="G8" s="114"/>
      <c r="H8" s="114"/>
      <c r="I8" s="114"/>
      <c r="J8" s="114"/>
    </row>
    <row r="9" spans="1:10" ht="16" thickBot="1"/>
    <row r="10" spans="1:10">
      <c r="A10" s="115" t="s">
        <v>137</v>
      </c>
      <c r="B10" s="380"/>
      <c r="C10" s="381"/>
      <c r="D10" s="381"/>
      <c r="E10" s="382"/>
      <c r="F10" s="116"/>
      <c r="G10" s="116"/>
      <c r="H10" s="116"/>
      <c r="I10" s="116"/>
      <c r="J10" s="116"/>
    </row>
    <row r="11" spans="1:10">
      <c r="A11" s="117" t="s">
        <v>51</v>
      </c>
      <c r="B11" s="361">
        <f>Intermediacao!C33</f>
        <v>0</v>
      </c>
      <c r="C11" s="362"/>
      <c r="D11" s="362"/>
      <c r="E11" s="363"/>
      <c r="F11" s="116"/>
      <c r="G11" s="116"/>
      <c r="H11" s="116"/>
      <c r="I11" s="116"/>
      <c r="J11" s="116"/>
    </row>
    <row r="12" spans="1:10">
      <c r="A12" s="118" t="s">
        <v>207</v>
      </c>
      <c r="B12" s="361"/>
      <c r="C12" s="362"/>
      <c r="D12" s="362"/>
      <c r="E12" s="363"/>
      <c r="F12" s="116"/>
      <c r="G12" s="116"/>
      <c r="H12" s="116"/>
      <c r="I12" s="116"/>
      <c r="J12" s="116"/>
    </row>
    <row r="13" spans="1:10">
      <c r="A13" s="118" t="s">
        <v>138</v>
      </c>
      <c r="B13" s="383">
        <f ca="1">Intermediacao!I122</f>
        <v>44858</v>
      </c>
      <c r="C13" s="384"/>
      <c r="D13" s="384"/>
      <c r="E13" s="385"/>
      <c r="F13" s="119"/>
      <c r="G13" s="119"/>
      <c r="H13" s="119"/>
      <c r="I13" s="119"/>
      <c r="J13" s="119"/>
    </row>
    <row r="14" spans="1:10">
      <c r="A14" s="118" t="s">
        <v>208</v>
      </c>
      <c r="B14" s="386">
        <f>Intermediacao!I34</f>
        <v>0</v>
      </c>
      <c r="C14" s="387"/>
      <c r="D14" s="387"/>
      <c r="E14" s="388"/>
      <c r="F14" s="120"/>
      <c r="G14" s="120"/>
      <c r="H14" s="120"/>
      <c r="I14" s="120"/>
      <c r="J14" s="120"/>
    </row>
    <row r="15" spans="1:10">
      <c r="A15" s="118" t="s">
        <v>209</v>
      </c>
      <c r="B15" s="389">
        <f>Intermediacao!A37</f>
        <v>0</v>
      </c>
      <c r="C15" s="362"/>
      <c r="D15" s="362"/>
      <c r="E15" s="363"/>
      <c r="F15" s="116"/>
      <c r="G15" s="116"/>
      <c r="H15" s="116"/>
      <c r="I15" s="116"/>
      <c r="J15" s="116"/>
    </row>
    <row r="16" spans="1:10">
      <c r="A16" s="156" t="s">
        <v>220</v>
      </c>
      <c r="B16" s="389"/>
      <c r="C16" s="362"/>
      <c r="D16" s="362"/>
      <c r="E16" s="363"/>
      <c r="F16" s="171"/>
      <c r="G16" s="124"/>
      <c r="H16" s="124"/>
      <c r="I16" s="124"/>
      <c r="J16" s="116"/>
    </row>
    <row r="17" spans="1:12" ht="16" thickBot="1">
      <c r="A17" s="121" t="s">
        <v>210</v>
      </c>
      <c r="B17" s="390">
        <f>B15+B16</f>
        <v>0</v>
      </c>
      <c r="C17" s="391"/>
      <c r="D17" s="391"/>
      <c r="E17" s="392"/>
      <c r="F17" s="171"/>
      <c r="G17" s="124"/>
      <c r="H17" s="124"/>
      <c r="I17" s="124"/>
      <c r="J17" s="116"/>
    </row>
    <row r="18" spans="1:12" ht="16" thickBot="1">
      <c r="A18" s="122"/>
      <c r="B18" s="123"/>
      <c r="C18" s="116"/>
      <c r="D18" s="116"/>
      <c r="E18" s="116"/>
      <c r="F18" s="116"/>
      <c r="G18" s="116"/>
      <c r="H18" s="116"/>
      <c r="I18" s="116"/>
      <c r="J18" s="116"/>
    </row>
    <row r="19" spans="1:12" ht="20" thickBot="1">
      <c r="A19" s="393" t="s">
        <v>139</v>
      </c>
      <c r="B19" s="394"/>
      <c r="C19" s="394"/>
      <c r="D19" s="394"/>
      <c r="E19" s="395"/>
      <c r="F19" s="124"/>
      <c r="G19" s="124"/>
      <c r="H19" s="124"/>
      <c r="I19" s="124"/>
      <c r="J19" s="124"/>
    </row>
    <row r="20" spans="1:12" ht="19">
      <c r="A20" s="125"/>
      <c r="B20" s="126" t="s">
        <v>140</v>
      </c>
      <c r="C20" s="126" t="s">
        <v>141</v>
      </c>
      <c r="D20" s="126" t="s">
        <v>142</v>
      </c>
      <c r="E20" s="127" t="s">
        <v>143</v>
      </c>
      <c r="F20" s="124"/>
      <c r="G20" s="124"/>
      <c r="H20" s="124"/>
      <c r="I20" s="124"/>
      <c r="J20" s="124"/>
      <c r="K20" s="128"/>
    </row>
    <row r="21" spans="1:12">
      <c r="A21" s="129" t="s">
        <v>211</v>
      </c>
      <c r="B21" s="130"/>
      <c r="C21" s="131"/>
      <c r="D21" s="131"/>
      <c r="E21" s="132"/>
      <c r="F21" s="124"/>
      <c r="G21" s="124"/>
      <c r="H21" s="124" t="s">
        <v>226</v>
      </c>
      <c r="I21" s="124"/>
      <c r="J21" s="124"/>
      <c r="K21" s="128"/>
    </row>
    <row r="22" spans="1:12">
      <c r="A22" s="129" t="s">
        <v>212</v>
      </c>
      <c r="B22" s="133"/>
      <c r="C22" s="169"/>
      <c r="D22" s="169"/>
      <c r="E22" s="179"/>
      <c r="F22" s="124"/>
      <c r="G22" s="124"/>
      <c r="H22" s="124"/>
      <c r="I22" s="124"/>
      <c r="J22" s="124"/>
      <c r="K22" s="128"/>
    </row>
    <row r="23" spans="1:12" ht="16" thickBot="1">
      <c r="A23" s="134" t="s">
        <v>213</v>
      </c>
      <c r="B23" s="135"/>
      <c r="C23" s="168"/>
      <c r="D23" s="168"/>
      <c r="E23" s="172"/>
      <c r="F23" s="136"/>
      <c r="G23" s="136"/>
      <c r="H23" s="136"/>
      <c r="I23" s="136"/>
      <c r="J23" s="136"/>
      <c r="K23" s="128"/>
    </row>
    <row r="24" spans="1:12" ht="16" thickBot="1">
      <c r="A24" s="137"/>
      <c r="B24" s="138"/>
      <c r="C24" s="138"/>
      <c r="D24" s="116"/>
      <c r="E24" s="116"/>
      <c r="F24" s="116"/>
      <c r="G24" s="116"/>
      <c r="H24" s="116"/>
      <c r="I24" s="116"/>
      <c r="J24" s="116"/>
      <c r="K24" s="128"/>
    </row>
    <row r="25" spans="1:12" ht="25.5" customHeight="1" thickBot="1">
      <c r="A25" s="139"/>
      <c r="B25" s="401" t="s">
        <v>144</v>
      </c>
      <c r="C25" s="401"/>
      <c r="D25" s="140" t="s">
        <v>214</v>
      </c>
      <c r="E25" s="140" t="s">
        <v>215</v>
      </c>
      <c r="F25" s="141" t="s">
        <v>220</v>
      </c>
      <c r="G25" s="141" t="s">
        <v>145</v>
      </c>
      <c r="H25" s="141" t="str">
        <f>B20</f>
        <v>1º PARC</v>
      </c>
      <c r="I25" s="141" t="str">
        <f>C20</f>
        <v>2º PARC</v>
      </c>
      <c r="J25" s="141" t="str">
        <f>D20</f>
        <v>3º PARC</v>
      </c>
      <c r="K25" s="142" t="str">
        <f>E20</f>
        <v>4º PARC</v>
      </c>
    </row>
    <row r="26" spans="1:12" ht="15" customHeight="1">
      <c r="A26" s="143" t="s">
        <v>152</v>
      </c>
      <c r="B26" s="399"/>
      <c r="C26" s="399"/>
      <c r="D26" s="144">
        <v>0.3</v>
      </c>
      <c r="E26" s="145">
        <f>$B$15*D26</f>
        <v>0</v>
      </c>
      <c r="F26" s="148">
        <f>B16*60%</f>
        <v>0</v>
      </c>
      <c r="G26" s="145">
        <f>E26+F26</f>
        <v>0</v>
      </c>
      <c r="H26" s="157"/>
      <c r="I26" s="157"/>
      <c r="J26" s="157"/>
      <c r="K26" s="174"/>
    </row>
    <row r="27" spans="1:12" ht="15" customHeight="1">
      <c r="A27" s="146" t="s">
        <v>157</v>
      </c>
      <c r="B27" s="400"/>
      <c r="C27" s="400"/>
      <c r="D27" s="147">
        <v>0.14000000000000001</v>
      </c>
      <c r="E27" s="148">
        <f t="shared" ref="E27:E31" si="0">$B$15*D27</f>
        <v>0</v>
      </c>
      <c r="F27" s="148">
        <f>B16*20%</f>
        <v>0</v>
      </c>
      <c r="G27" s="148">
        <f t="shared" ref="G27:G31" si="1">E27+F27</f>
        <v>0</v>
      </c>
      <c r="H27" s="158"/>
      <c r="I27" s="158"/>
      <c r="J27" s="158"/>
      <c r="K27" s="174"/>
    </row>
    <row r="28" spans="1:12" ht="15" customHeight="1">
      <c r="A28" s="146" t="s">
        <v>160</v>
      </c>
      <c r="B28" s="400"/>
      <c r="C28" s="400"/>
      <c r="D28" s="147"/>
      <c r="E28" s="148"/>
      <c r="F28" s="148">
        <v>0</v>
      </c>
      <c r="G28" s="148">
        <f t="shared" si="1"/>
        <v>0</v>
      </c>
      <c r="H28" s="158"/>
      <c r="I28" s="158"/>
      <c r="J28" s="158"/>
      <c r="K28" s="174"/>
    </row>
    <row r="29" spans="1:12" ht="15" customHeight="1">
      <c r="A29" s="146" t="s">
        <v>216</v>
      </c>
      <c r="B29" s="400" t="s">
        <v>221</v>
      </c>
      <c r="C29" s="400"/>
      <c r="D29" s="147">
        <v>0.05</v>
      </c>
      <c r="E29" s="148">
        <f t="shared" si="0"/>
        <v>0</v>
      </c>
      <c r="F29" s="148">
        <f>B16*5%</f>
        <v>0</v>
      </c>
      <c r="G29" s="148">
        <f t="shared" si="1"/>
        <v>0</v>
      </c>
      <c r="H29" s="158"/>
      <c r="I29" s="158"/>
      <c r="J29" s="158"/>
      <c r="K29" s="174"/>
    </row>
    <row r="30" spans="1:12" ht="15" customHeight="1">
      <c r="A30" s="146" t="s">
        <v>216</v>
      </c>
      <c r="B30" s="400" t="s">
        <v>222</v>
      </c>
      <c r="C30" s="400"/>
      <c r="D30" s="147">
        <v>0.05</v>
      </c>
      <c r="E30" s="148">
        <f t="shared" si="0"/>
        <v>0</v>
      </c>
      <c r="F30" s="148">
        <f>B16*5%</f>
        <v>0</v>
      </c>
      <c r="G30" s="148">
        <f t="shared" si="1"/>
        <v>0</v>
      </c>
      <c r="H30" s="158"/>
      <c r="I30" s="158"/>
      <c r="J30" s="158"/>
      <c r="K30" s="174"/>
    </row>
    <row r="31" spans="1:12" ht="16" thickBot="1">
      <c r="A31" s="149" t="s">
        <v>185</v>
      </c>
      <c r="B31" s="396" t="s">
        <v>224</v>
      </c>
      <c r="C31" s="396"/>
      <c r="D31" s="150">
        <v>0.46</v>
      </c>
      <c r="E31" s="151">
        <f t="shared" si="0"/>
        <v>0</v>
      </c>
      <c r="F31" s="151">
        <f>B16*10%</f>
        <v>0</v>
      </c>
      <c r="G31" s="148">
        <f t="shared" si="1"/>
        <v>0</v>
      </c>
      <c r="H31" s="159"/>
      <c r="I31" s="159"/>
      <c r="J31" s="159"/>
      <c r="K31" s="174"/>
    </row>
    <row r="32" spans="1:12" s="155" customFormat="1" ht="16" thickBot="1">
      <c r="A32" s="397" t="s">
        <v>217</v>
      </c>
      <c r="B32" s="398"/>
      <c r="C32" s="398"/>
      <c r="D32" s="152">
        <f t="shared" ref="D32:K32" si="2">SUM(D26:D31)</f>
        <v>1</v>
      </c>
      <c r="E32" s="153">
        <f t="shared" si="2"/>
        <v>0</v>
      </c>
      <c r="F32" s="153">
        <f t="shared" si="2"/>
        <v>0</v>
      </c>
      <c r="G32" s="153">
        <f t="shared" si="2"/>
        <v>0</v>
      </c>
      <c r="H32" s="153">
        <f t="shared" si="2"/>
        <v>0</v>
      </c>
      <c r="I32" s="153">
        <f t="shared" si="2"/>
        <v>0</v>
      </c>
      <c r="J32" s="153">
        <f t="shared" si="2"/>
        <v>0</v>
      </c>
      <c r="K32" s="173">
        <f t="shared" si="2"/>
        <v>0</v>
      </c>
      <c r="L32" s="154"/>
    </row>
    <row r="33" spans="11:11">
      <c r="K33" s="128"/>
    </row>
  </sheetData>
  <mergeCells count="24">
    <mergeCell ref="B31:C31"/>
    <mergeCell ref="A32:C32"/>
    <mergeCell ref="B16:E16"/>
    <mergeCell ref="B26:C26"/>
    <mergeCell ref="B27:C27"/>
    <mergeCell ref="B28:C28"/>
    <mergeCell ref="B29:C29"/>
    <mergeCell ref="B30:C30"/>
    <mergeCell ref="B25:C25"/>
    <mergeCell ref="B13:E13"/>
    <mergeCell ref="B14:E14"/>
    <mergeCell ref="B15:E15"/>
    <mergeCell ref="B17:E17"/>
    <mergeCell ref="A19:E19"/>
    <mergeCell ref="B12:E12"/>
    <mergeCell ref="A1:E1"/>
    <mergeCell ref="B2:E2"/>
    <mergeCell ref="B3:E3"/>
    <mergeCell ref="B4:E4"/>
    <mergeCell ref="B5:E5"/>
    <mergeCell ref="A7:E7"/>
    <mergeCell ref="B8:E8"/>
    <mergeCell ref="B10:E10"/>
    <mergeCell ref="B11:E11"/>
  </mergeCells>
  <pageMargins left="0.25" right="0.25" top="0.75" bottom="0.75" header="0.3" footer="0.3"/>
  <pageSetup paperSize="9" scale="4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Z1000"/>
  <sheetViews>
    <sheetView showGridLines="0" workbookViewId="0"/>
  </sheetViews>
  <sheetFormatPr baseColWidth="10" defaultColWidth="14.5" defaultRowHeight="15" customHeight="1"/>
  <cols>
    <col min="1" max="1" width="9.1640625" customWidth="1"/>
    <col min="2" max="2" width="17.83203125" customWidth="1"/>
    <col min="3" max="3" width="14" customWidth="1"/>
    <col min="4" max="4" width="18.5" customWidth="1"/>
    <col min="5" max="5" width="9.33203125" customWidth="1"/>
    <col min="6" max="6" width="18.5" customWidth="1"/>
    <col min="7" max="7" width="12.1640625" customWidth="1"/>
    <col min="8" max="8" width="18.5" customWidth="1"/>
    <col min="9" max="9" width="21.6640625" customWidth="1"/>
    <col min="10" max="26" width="8.6640625" customWidth="1"/>
  </cols>
  <sheetData>
    <row r="1" spans="1:26">
      <c r="A1" s="22"/>
      <c r="B1" s="22"/>
      <c r="C1" s="23"/>
      <c r="D1" s="22"/>
      <c r="E1" s="23"/>
      <c r="F1" s="22"/>
      <c r="G1" s="23"/>
      <c r="H1" s="22"/>
      <c r="I1" s="2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1">
      <c r="A2" s="22"/>
      <c r="B2" s="22"/>
      <c r="C2" s="23"/>
      <c r="D2" s="404" t="s">
        <v>147</v>
      </c>
      <c r="E2" s="405"/>
      <c r="F2" s="405"/>
      <c r="G2" s="405"/>
      <c r="H2" s="403"/>
      <c r="I2" s="23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2"/>
      <c r="B3" s="402" t="s">
        <v>148</v>
      </c>
      <c r="C3" s="403"/>
      <c r="D3" s="402" t="s">
        <v>149</v>
      </c>
      <c r="E3" s="403"/>
      <c r="F3" s="402" t="s">
        <v>150</v>
      </c>
      <c r="G3" s="403"/>
      <c r="H3" s="402" t="s">
        <v>151</v>
      </c>
      <c r="I3" s="40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2"/>
      <c r="B4" s="24" t="s">
        <v>152</v>
      </c>
      <c r="C4" s="25" t="s">
        <v>153</v>
      </c>
      <c r="D4" s="24" t="s">
        <v>152</v>
      </c>
      <c r="E4" s="25" t="s">
        <v>154</v>
      </c>
      <c r="F4" s="24" t="s">
        <v>152</v>
      </c>
      <c r="G4" s="25" t="s">
        <v>155</v>
      </c>
      <c r="H4" s="24" t="s">
        <v>152</v>
      </c>
      <c r="I4" s="25" t="s">
        <v>156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6" t="s">
        <v>157</v>
      </c>
      <c r="C5" s="27" t="s">
        <v>158</v>
      </c>
      <c r="D5" s="26" t="s">
        <v>157</v>
      </c>
      <c r="E5" s="27" t="s">
        <v>153</v>
      </c>
      <c r="F5" s="26" t="s">
        <v>157</v>
      </c>
      <c r="G5" s="27" t="s">
        <v>154</v>
      </c>
      <c r="H5" s="26" t="s">
        <v>157</v>
      </c>
      <c r="I5" s="27" t="s">
        <v>159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6" t="s">
        <v>160</v>
      </c>
      <c r="C6" s="27" t="s">
        <v>158</v>
      </c>
      <c r="D6" s="26" t="s">
        <v>160</v>
      </c>
      <c r="E6" s="27" t="s">
        <v>158</v>
      </c>
      <c r="F6" s="26" t="s">
        <v>160</v>
      </c>
      <c r="G6" s="27" t="s">
        <v>158</v>
      </c>
      <c r="H6" s="26" t="s">
        <v>160</v>
      </c>
      <c r="I6" s="27" t="s">
        <v>158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6" t="s">
        <v>146</v>
      </c>
      <c r="C7" s="27" t="s">
        <v>158</v>
      </c>
      <c r="D7" s="26" t="s">
        <v>146</v>
      </c>
      <c r="E7" s="27" t="s">
        <v>158</v>
      </c>
      <c r="F7" s="26" t="s">
        <v>146</v>
      </c>
      <c r="G7" s="27" t="s">
        <v>153</v>
      </c>
      <c r="H7" s="26" t="s">
        <v>146</v>
      </c>
      <c r="I7" s="27" t="s">
        <v>154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8" t="s">
        <v>161</v>
      </c>
      <c r="C8" s="29" t="s">
        <v>153</v>
      </c>
      <c r="D8" s="28" t="s">
        <v>161</v>
      </c>
      <c r="E8" s="29" t="s">
        <v>154</v>
      </c>
      <c r="F8" s="28" t="s">
        <v>161</v>
      </c>
      <c r="G8" s="29" t="s">
        <v>162</v>
      </c>
      <c r="H8" s="28" t="s">
        <v>161</v>
      </c>
      <c r="I8" s="29" t="s">
        <v>163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3"/>
      <c r="D9" s="22"/>
      <c r="E9" s="23"/>
      <c r="F9" s="22"/>
      <c r="G9" s="23"/>
      <c r="H9" s="402" t="s">
        <v>164</v>
      </c>
      <c r="I9" s="40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3"/>
      <c r="D10" s="22"/>
      <c r="E10" s="23"/>
      <c r="F10" s="22"/>
      <c r="G10" s="23"/>
      <c r="H10" s="22"/>
      <c r="I10" s="2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3"/>
      <c r="D11" s="22"/>
      <c r="E11" s="23"/>
      <c r="F11" s="22"/>
      <c r="G11" s="23"/>
      <c r="H11" s="22"/>
      <c r="I11" s="2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3"/>
      <c r="D12" s="22"/>
      <c r="E12" s="23"/>
      <c r="F12" s="22"/>
      <c r="G12" s="23"/>
      <c r="H12" s="22"/>
      <c r="I12" s="23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3"/>
      <c r="D13" s="22"/>
      <c r="E13" s="23"/>
      <c r="F13" s="22"/>
      <c r="G13" s="23"/>
      <c r="H13" s="22"/>
      <c r="I13" s="2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3"/>
      <c r="D14" s="22"/>
      <c r="E14" s="23"/>
      <c r="F14" s="22"/>
      <c r="G14" s="23"/>
      <c r="H14" s="22"/>
      <c r="I14" s="23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3"/>
      <c r="D15" s="22"/>
      <c r="E15" s="23"/>
      <c r="F15" s="22"/>
      <c r="G15" s="23"/>
      <c r="H15" s="22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3"/>
      <c r="D16" s="22"/>
      <c r="E16" s="23"/>
      <c r="F16" s="22"/>
      <c r="G16" s="23"/>
      <c r="H16" s="22"/>
      <c r="I16" s="2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3"/>
      <c r="D17" s="22"/>
      <c r="E17" s="23"/>
      <c r="F17" s="22"/>
      <c r="G17" s="23"/>
      <c r="H17" s="22"/>
      <c r="I17" s="2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3"/>
      <c r="D18" s="22"/>
      <c r="E18" s="23"/>
      <c r="F18" s="22"/>
      <c r="G18" s="23"/>
      <c r="H18" s="22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22"/>
      <c r="B19" s="22"/>
      <c r="C19" s="23"/>
      <c r="D19" s="22"/>
      <c r="E19" s="23"/>
      <c r="F19" s="22"/>
      <c r="G19" s="23"/>
      <c r="H19" s="22"/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A20" s="22"/>
      <c r="B20" s="22"/>
      <c r="C20" s="23"/>
      <c r="D20" s="22"/>
      <c r="E20" s="23"/>
      <c r="F20" s="22"/>
      <c r="G20" s="23"/>
      <c r="H20" s="22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3"/>
      <c r="D21" s="22"/>
      <c r="E21" s="23"/>
      <c r="F21" s="22"/>
      <c r="G21" s="23"/>
      <c r="H21" s="22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2"/>
      <c r="B22" s="22"/>
      <c r="C22" s="23"/>
      <c r="D22" s="22"/>
      <c r="E22" s="23"/>
      <c r="F22" s="22"/>
      <c r="G22" s="23"/>
      <c r="H22" s="22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2"/>
      <c r="B23" s="22"/>
      <c r="C23" s="23"/>
      <c r="D23" s="22"/>
      <c r="E23" s="23"/>
      <c r="F23" s="22"/>
      <c r="G23" s="23"/>
      <c r="H23" s="22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2"/>
      <c r="B24" s="22"/>
      <c r="C24" s="23"/>
      <c r="D24" s="22"/>
      <c r="E24" s="23"/>
      <c r="F24" s="22"/>
      <c r="G24" s="23"/>
      <c r="H24" s="22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2"/>
      <c r="B25" s="22"/>
      <c r="C25" s="23"/>
      <c r="D25" s="22"/>
      <c r="E25" s="23"/>
      <c r="F25" s="22"/>
      <c r="G25" s="23"/>
      <c r="H25" s="22"/>
      <c r="I25" s="2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2"/>
      <c r="B26" s="22"/>
      <c r="C26" s="23"/>
      <c r="D26" s="22"/>
      <c r="E26" s="23"/>
      <c r="F26" s="22"/>
      <c r="G26" s="23"/>
      <c r="H26" s="22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2"/>
      <c r="B27" s="22"/>
      <c r="C27" s="23"/>
      <c r="D27" s="22"/>
      <c r="E27" s="23"/>
      <c r="F27" s="22"/>
      <c r="G27" s="23"/>
      <c r="H27" s="22"/>
      <c r="I27" s="23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2"/>
      <c r="B28" s="22"/>
      <c r="C28" s="23"/>
      <c r="D28" s="22"/>
      <c r="E28" s="23"/>
      <c r="F28" s="22"/>
      <c r="G28" s="23"/>
      <c r="H28" s="22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2"/>
      <c r="B29" s="22"/>
      <c r="C29" s="23"/>
      <c r="D29" s="22"/>
      <c r="E29" s="23"/>
      <c r="F29" s="22"/>
      <c r="G29" s="23"/>
      <c r="H29" s="22"/>
      <c r="I29" s="23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2"/>
      <c r="B30" s="22"/>
      <c r="C30" s="23"/>
      <c r="D30" s="22"/>
      <c r="E30" s="23"/>
      <c r="F30" s="22"/>
      <c r="G30" s="23"/>
      <c r="H30" s="22"/>
      <c r="I30" s="2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2"/>
      <c r="B31" s="22"/>
      <c r="C31" s="23"/>
      <c r="D31" s="22"/>
      <c r="E31" s="23"/>
      <c r="F31" s="22"/>
      <c r="G31" s="23"/>
      <c r="H31" s="22"/>
      <c r="I31" s="23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2"/>
      <c r="B32" s="22"/>
      <c r="C32" s="23"/>
      <c r="D32" s="22"/>
      <c r="E32" s="23"/>
      <c r="F32" s="22"/>
      <c r="G32" s="23"/>
      <c r="H32" s="22"/>
      <c r="I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2"/>
      <c r="B33" s="22"/>
      <c r="C33" s="23"/>
      <c r="D33" s="22"/>
      <c r="E33" s="23"/>
      <c r="F33" s="22"/>
      <c r="G33" s="23"/>
      <c r="H33" s="22"/>
      <c r="I33" s="23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2"/>
      <c r="B34" s="22"/>
      <c r="C34" s="23"/>
      <c r="D34" s="22"/>
      <c r="E34" s="23"/>
      <c r="F34" s="22"/>
      <c r="G34" s="23"/>
      <c r="H34" s="22"/>
      <c r="I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2"/>
      <c r="B35" s="22"/>
      <c r="C35" s="23"/>
      <c r="D35" s="22"/>
      <c r="E35" s="23"/>
      <c r="F35" s="22"/>
      <c r="G35" s="23"/>
      <c r="H35" s="22"/>
      <c r="I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2"/>
      <c r="B36" s="22"/>
      <c r="C36" s="23"/>
      <c r="D36" s="22"/>
      <c r="E36" s="23"/>
      <c r="F36" s="22"/>
      <c r="G36" s="23"/>
      <c r="H36" s="22"/>
      <c r="I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2"/>
      <c r="B37" s="22"/>
      <c r="C37" s="23"/>
      <c r="D37" s="22"/>
      <c r="E37" s="23"/>
      <c r="F37" s="22"/>
      <c r="G37" s="23"/>
      <c r="H37" s="22"/>
      <c r="I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2"/>
      <c r="B38" s="22"/>
      <c r="C38" s="23"/>
      <c r="D38" s="22"/>
      <c r="E38" s="23"/>
      <c r="F38" s="22"/>
      <c r="G38" s="23"/>
      <c r="H38" s="22"/>
      <c r="I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22"/>
      <c r="B39" s="22"/>
      <c r="C39" s="23"/>
      <c r="D39" s="22"/>
      <c r="E39" s="23"/>
      <c r="F39" s="22"/>
      <c r="G39" s="23"/>
      <c r="H39" s="22"/>
      <c r="I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2"/>
      <c r="B40" s="22"/>
      <c r="C40" s="23"/>
      <c r="D40" s="22"/>
      <c r="E40" s="23"/>
      <c r="F40" s="22"/>
      <c r="G40" s="23"/>
      <c r="H40" s="22"/>
      <c r="I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2"/>
      <c r="B41" s="22"/>
      <c r="C41" s="23"/>
      <c r="D41" s="22"/>
      <c r="E41" s="23"/>
      <c r="F41" s="22"/>
      <c r="G41" s="23"/>
      <c r="H41" s="22"/>
      <c r="I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2"/>
      <c r="C42" s="23"/>
      <c r="D42" s="22"/>
      <c r="E42" s="23"/>
      <c r="F42" s="22"/>
      <c r="G42" s="23"/>
      <c r="H42" s="22"/>
      <c r="I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2"/>
      <c r="B43" s="22"/>
      <c r="C43" s="23"/>
      <c r="D43" s="22"/>
      <c r="E43" s="23"/>
      <c r="F43" s="22"/>
      <c r="G43" s="23"/>
      <c r="H43" s="22"/>
      <c r="I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2"/>
      <c r="C44" s="23"/>
      <c r="D44" s="22"/>
      <c r="E44" s="23"/>
      <c r="F44" s="22"/>
      <c r="G44" s="23"/>
      <c r="H44" s="22"/>
      <c r="I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2"/>
      <c r="C45" s="23"/>
      <c r="D45" s="22"/>
      <c r="E45" s="23"/>
      <c r="F45" s="22"/>
      <c r="G45" s="23"/>
      <c r="H45" s="22"/>
      <c r="I45" s="2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2"/>
      <c r="C46" s="23"/>
      <c r="D46" s="22"/>
      <c r="E46" s="23"/>
      <c r="F46" s="22"/>
      <c r="G46" s="23"/>
      <c r="H46" s="22"/>
      <c r="I46" s="23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2"/>
      <c r="C47" s="23"/>
      <c r="D47" s="22"/>
      <c r="E47" s="23"/>
      <c r="F47" s="22"/>
      <c r="G47" s="23"/>
      <c r="H47" s="22"/>
      <c r="I47" s="23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2"/>
      <c r="C48" s="23"/>
      <c r="D48" s="22"/>
      <c r="E48" s="23"/>
      <c r="F48" s="22"/>
      <c r="G48" s="23"/>
      <c r="H48" s="22"/>
      <c r="I48" s="23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2"/>
      <c r="C49" s="23"/>
      <c r="D49" s="22"/>
      <c r="E49" s="23"/>
      <c r="F49" s="22"/>
      <c r="G49" s="23"/>
      <c r="H49" s="22"/>
      <c r="I49" s="23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2"/>
      <c r="C50" s="23"/>
      <c r="D50" s="22"/>
      <c r="E50" s="23"/>
      <c r="F50" s="22"/>
      <c r="G50" s="23"/>
      <c r="H50" s="22"/>
      <c r="I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2"/>
      <c r="C51" s="23"/>
      <c r="D51" s="22"/>
      <c r="E51" s="23"/>
      <c r="F51" s="22"/>
      <c r="G51" s="23"/>
      <c r="H51" s="22"/>
      <c r="I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2"/>
      <c r="C52" s="23"/>
      <c r="D52" s="22"/>
      <c r="E52" s="23"/>
      <c r="F52" s="22"/>
      <c r="G52" s="23"/>
      <c r="H52" s="22"/>
      <c r="I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2"/>
      <c r="C53" s="23"/>
      <c r="D53" s="22"/>
      <c r="E53" s="23"/>
      <c r="F53" s="22"/>
      <c r="G53" s="23"/>
      <c r="H53" s="22"/>
      <c r="I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2"/>
      <c r="C54" s="23"/>
      <c r="D54" s="22"/>
      <c r="E54" s="23"/>
      <c r="F54" s="22"/>
      <c r="G54" s="23"/>
      <c r="H54" s="22"/>
      <c r="I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2"/>
      <c r="C55" s="23"/>
      <c r="D55" s="22"/>
      <c r="E55" s="23"/>
      <c r="F55" s="22"/>
      <c r="G55" s="23"/>
      <c r="H55" s="22"/>
      <c r="I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2"/>
      <c r="C56" s="23"/>
      <c r="D56" s="22"/>
      <c r="E56" s="23"/>
      <c r="F56" s="22"/>
      <c r="G56" s="23"/>
      <c r="H56" s="22"/>
      <c r="I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2"/>
      <c r="C57" s="23"/>
      <c r="D57" s="22"/>
      <c r="E57" s="23"/>
      <c r="F57" s="22"/>
      <c r="G57" s="23"/>
      <c r="H57" s="22"/>
      <c r="I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2"/>
      <c r="C58" s="23"/>
      <c r="D58" s="22"/>
      <c r="E58" s="23"/>
      <c r="F58" s="22"/>
      <c r="G58" s="23"/>
      <c r="H58" s="22"/>
      <c r="I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2"/>
      <c r="C59" s="23"/>
      <c r="D59" s="22"/>
      <c r="E59" s="23"/>
      <c r="F59" s="22"/>
      <c r="G59" s="23"/>
      <c r="H59" s="22"/>
      <c r="I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2"/>
      <c r="C60" s="23"/>
      <c r="D60" s="22"/>
      <c r="E60" s="23"/>
      <c r="F60" s="22"/>
      <c r="G60" s="23"/>
      <c r="H60" s="22"/>
      <c r="I60" s="2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2"/>
      <c r="C61" s="23"/>
      <c r="D61" s="22"/>
      <c r="E61" s="23"/>
      <c r="F61" s="22"/>
      <c r="G61" s="23"/>
      <c r="H61" s="22"/>
      <c r="I61" s="2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3"/>
      <c r="D62" s="22"/>
      <c r="E62" s="23"/>
      <c r="F62" s="22"/>
      <c r="G62" s="23"/>
      <c r="H62" s="22"/>
      <c r="I62" s="2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3"/>
      <c r="D63" s="22"/>
      <c r="E63" s="23"/>
      <c r="F63" s="22"/>
      <c r="G63" s="23"/>
      <c r="H63" s="22"/>
      <c r="I63" s="2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3"/>
      <c r="D64" s="22"/>
      <c r="E64" s="23"/>
      <c r="F64" s="22"/>
      <c r="G64" s="23"/>
      <c r="H64" s="22"/>
      <c r="I64" s="23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3"/>
      <c r="D65" s="22"/>
      <c r="E65" s="23"/>
      <c r="F65" s="22"/>
      <c r="G65" s="23"/>
      <c r="H65" s="22"/>
      <c r="I65" s="23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3"/>
      <c r="D66" s="22"/>
      <c r="E66" s="23"/>
      <c r="F66" s="22"/>
      <c r="G66" s="23"/>
      <c r="H66" s="22"/>
      <c r="I66" s="2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3"/>
      <c r="D67" s="22"/>
      <c r="E67" s="23"/>
      <c r="F67" s="22"/>
      <c r="G67" s="23"/>
      <c r="H67" s="22"/>
      <c r="I67" s="2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3"/>
      <c r="D68" s="22"/>
      <c r="E68" s="23"/>
      <c r="F68" s="22"/>
      <c r="G68" s="23"/>
      <c r="H68" s="22"/>
      <c r="I68" s="2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3"/>
      <c r="D69" s="22"/>
      <c r="E69" s="23"/>
      <c r="F69" s="22"/>
      <c r="G69" s="23"/>
      <c r="H69" s="22"/>
      <c r="I69" s="2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3"/>
      <c r="D70" s="22"/>
      <c r="E70" s="23"/>
      <c r="F70" s="22"/>
      <c r="G70" s="23"/>
      <c r="H70" s="22"/>
      <c r="I70" s="2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3"/>
      <c r="D71" s="22"/>
      <c r="E71" s="23"/>
      <c r="F71" s="22"/>
      <c r="G71" s="23"/>
      <c r="H71" s="22"/>
      <c r="I71" s="2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3"/>
      <c r="D72" s="22"/>
      <c r="E72" s="23"/>
      <c r="F72" s="22"/>
      <c r="G72" s="23"/>
      <c r="H72" s="22"/>
      <c r="I72" s="23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3"/>
      <c r="D73" s="22"/>
      <c r="E73" s="23"/>
      <c r="F73" s="22"/>
      <c r="G73" s="23"/>
      <c r="H73" s="22"/>
      <c r="I73" s="23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3"/>
      <c r="D74" s="22"/>
      <c r="E74" s="23"/>
      <c r="F74" s="22"/>
      <c r="G74" s="23"/>
      <c r="H74" s="22"/>
      <c r="I74" s="23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3"/>
      <c r="D75" s="22"/>
      <c r="E75" s="23"/>
      <c r="F75" s="22"/>
      <c r="G75" s="23"/>
      <c r="H75" s="22"/>
      <c r="I75" s="23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3"/>
      <c r="D76" s="22"/>
      <c r="E76" s="23"/>
      <c r="F76" s="22"/>
      <c r="G76" s="23"/>
      <c r="H76" s="22"/>
      <c r="I76" s="2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3"/>
      <c r="D77" s="22"/>
      <c r="E77" s="23"/>
      <c r="F77" s="22"/>
      <c r="G77" s="23"/>
      <c r="H77" s="22"/>
      <c r="I77" s="23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3"/>
      <c r="D78" s="22"/>
      <c r="E78" s="23"/>
      <c r="F78" s="22"/>
      <c r="G78" s="23"/>
      <c r="H78" s="22"/>
      <c r="I78" s="2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3"/>
      <c r="D79" s="22"/>
      <c r="E79" s="23"/>
      <c r="F79" s="22"/>
      <c r="G79" s="23"/>
      <c r="H79" s="22"/>
      <c r="I79" s="23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3"/>
      <c r="D80" s="22"/>
      <c r="E80" s="23"/>
      <c r="F80" s="22"/>
      <c r="G80" s="23"/>
      <c r="H80" s="22"/>
      <c r="I80" s="2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3"/>
      <c r="D81" s="22"/>
      <c r="E81" s="23"/>
      <c r="F81" s="22"/>
      <c r="G81" s="23"/>
      <c r="H81" s="22"/>
      <c r="I81" s="23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3"/>
      <c r="D82" s="22"/>
      <c r="E82" s="23"/>
      <c r="F82" s="22"/>
      <c r="G82" s="23"/>
      <c r="H82" s="22"/>
      <c r="I82" s="23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3"/>
      <c r="D83" s="22"/>
      <c r="E83" s="23"/>
      <c r="F83" s="22"/>
      <c r="G83" s="23"/>
      <c r="H83" s="22"/>
      <c r="I83" s="23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3"/>
      <c r="D84" s="22"/>
      <c r="E84" s="23"/>
      <c r="F84" s="22"/>
      <c r="G84" s="23"/>
      <c r="H84" s="22"/>
      <c r="I84" s="23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3"/>
      <c r="D85" s="22"/>
      <c r="E85" s="23"/>
      <c r="F85" s="22"/>
      <c r="G85" s="23"/>
      <c r="H85" s="22"/>
      <c r="I85" s="23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3"/>
      <c r="D86" s="22"/>
      <c r="E86" s="23"/>
      <c r="F86" s="22"/>
      <c r="G86" s="23"/>
      <c r="H86" s="22"/>
      <c r="I86" s="23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3"/>
      <c r="D87" s="22"/>
      <c r="E87" s="23"/>
      <c r="F87" s="22"/>
      <c r="G87" s="23"/>
      <c r="H87" s="22"/>
      <c r="I87" s="23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3"/>
      <c r="D88" s="22"/>
      <c r="E88" s="23"/>
      <c r="F88" s="22"/>
      <c r="G88" s="23"/>
      <c r="H88" s="22"/>
      <c r="I88" s="2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3"/>
      <c r="D89" s="22"/>
      <c r="E89" s="23"/>
      <c r="F89" s="22"/>
      <c r="G89" s="23"/>
      <c r="H89" s="22"/>
      <c r="I89" s="2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3"/>
      <c r="D90" s="22"/>
      <c r="E90" s="23"/>
      <c r="F90" s="22"/>
      <c r="G90" s="23"/>
      <c r="H90" s="22"/>
      <c r="I90" s="2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3"/>
      <c r="D91" s="22"/>
      <c r="E91" s="23"/>
      <c r="F91" s="22"/>
      <c r="G91" s="23"/>
      <c r="H91" s="22"/>
      <c r="I91" s="2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3"/>
      <c r="D92" s="22"/>
      <c r="E92" s="23"/>
      <c r="F92" s="22"/>
      <c r="G92" s="23"/>
      <c r="H92" s="22"/>
      <c r="I92" s="23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3"/>
      <c r="D93" s="22"/>
      <c r="E93" s="23"/>
      <c r="F93" s="22"/>
      <c r="G93" s="23"/>
      <c r="H93" s="22"/>
      <c r="I93" s="23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3"/>
      <c r="D94" s="22"/>
      <c r="E94" s="23"/>
      <c r="F94" s="22"/>
      <c r="G94" s="23"/>
      <c r="H94" s="22"/>
      <c r="I94" s="23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3"/>
      <c r="D95" s="22"/>
      <c r="E95" s="23"/>
      <c r="F95" s="22"/>
      <c r="G95" s="23"/>
      <c r="H95" s="22"/>
      <c r="I95" s="23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3"/>
      <c r="D96" s="22"/>
      <c r="E96" s="23"/>
      <c r="F96" s="22"/>
      <c r="G96" s="23"/>
      <c r="H96" s="22"/>
      <c r="I96" s="23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3"/>
      <c r="D97" s="22"/>
      <c r="E97" s="23"/>
      <c r="F97" s="22"/>
      <c r="G97" s="23"/>
      <c r="H97" s="22"/>
      <c r="I97" s="23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3"/>
      <c r="D98" s="22"/>
      <c r="E98" s="23"/>
      <c r="F98" s="22"/>
      <c r="G98" s="23"/>
      <c r="H98" s="22"/>
      <c r="I98" s="23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3"/>
      <c r="D99" s="22"/>
      <c r="E99" s="23"/>
      <c r="F99" s="22"/>
      <c r="G99" s="23"/>
      <c r="H99" s="22"/>
      <c r="I99" s="23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3"/>
      <c r="D100" s="22"/>
      <c r="E100" s="23"/>
      <c r="F100" s="22"/>
      <c r="G100" s="23"/>
      <c r="H100" s="22"/>
      <c r="I100" s="23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3"/>
      <c r="D101" s="22"/>
      <c r="E101" s="23"/>
      <c r="F101" s="22"/>
      <c r="G101" s="23"/>
      <c r="H101" s="22"/>
      <c r="I101" s="23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3"/>
      <c r="D102" s="22"/>
      <c r="E102" s="23"/>
      <c r="F102" s="22"/>
      <c r="G102" s="23"/>
      <c r="H102" s="22"/>
      <c r="I102" s="23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3"/>
      <c r="D103" s="22"/>
      <c r="E103" s="23"/>
      <c r="F103" s="22"/>
      <c r="G103" s="23"/>
      <c r="H103" s="22"/>
      <c r="I103" s="23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3"/>
      <c r="D104" s="22"/>
      <c r="E104" s="23"/>
      <c r="F104" s="22"/>
      <c r="G104" s="23"/>
      <c r="H104" s="22"/>
      <c r="I104" s="23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3"/>
      <c r="D105" s="22"/>
      <c r="E105" s="23"/>
      <c r="F105" s="22"/>
      <c r="G105" s="23"/>
      <c r="H105" s="22"/>
      <c r="I105" s="23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3"/>
      <c r="D106" s="22"/>
      <c r="E106" s="23"/>
      <c r="F106" s="22"/>
      <c r="G106" s="23"/>
      <c r="H106" s="22"/>
      <c r="I106" s="23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3"/>
      <c r="D107" s="22"/>
      <c r="E107" s="23"/>
      <c r="F107" s="22"/>
      <c r="G107" s="23"/>
      <c r="H107" s="22"/>
      <c r="I107" s="23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3"/>
      <c r="D108" s="22"/>
      <c r="E108" s="23"/>
      <c r="F108" s="22"/>
      <c r="G108" s="23"/>
      <c r="H108" s="22"/>
      <c r="I108" s="2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3"/>
      <c r="D109" s="22"/>
      <c r="E109" s="23"/>
      <c r="F109" s="22"/>
      <c r="G109" s="23"/>
      <c r="H109" s="22"/>
      <c r="I109" s="23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3"/>
      <c r="D110" s="22"/>
      <c r="E110" s="23"/>
      <c r="F110" s="22"/>
      <c r="G110" s="23"/>
      <c r="H110" s="22"/>
      <c r="I110" s="2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3"/>
      <c r="D111" s="22"/>
      <c r="E111" s="23"/>
      <c r="F111" s="22"/>
      <c r="G111" s="23"/>
      <c r="H111" s="22"/>
      <c r="I111" s="2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3"/>
      <c r="D112" s="22"/>
      <c r="E112" s="23"/>
      <c r="F112" s="22"/>
      <c r="G112" s="23"/>
      <c r="H112" s="22"/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3"/>
      <c r="D113" s="22"/>
      <c r="E113" s="23"/>
      <c r="F113" s="22"/>
      <c r="G113" s="23"/>
      <c r="H113" s="22"/>
      <c r="I113" s="23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3"/>
      <c r="D114" s="22"/>
      <c r="E114" s="23"/>
      <c r="F114" s="22"/>
      <c r="G114" s="23"/>
      <c r="H114" s="22"/>
      <c r="I114" s="23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3"/>
      <c r="D115" s="22"/>
      <c r="E115" s="23"/>
      <c r="F115" s="22"/>
      <c r="G115" s="23"/>
      <c r="H115" s="22"/>
      <c r="I115" s="23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3"/>
      <c r="D116" s="22"/>
      <c r="E116" s="23"/>
      <c r="F116" s="22"/>
      <c r="G116" s="23"/>
      <c r="H116" s="22"/>
      <c r="I116" s="2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3"/>
      <c r="D117" s="22"/>
      <c r="E117" s="23"/>
      <c r="F117" s="22"/>
      <c r="G117" s="23"/>
      <c r="H117" s="22"/>
      <c r="I117" s="23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3"/>
      <c r="D118" s="22"/>
      <c r="E118" s="23"/>
      <c r="F118" s="22"/>
      <c r="G118" s="23"/>
      <c r="H118" s="22"/>
      <c r="I118" s="23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3"/>
      <c r="D119" s="22"/>
      <c r="E119" s="23"/>
      <c r="F119" s="22"/>
      <c r="G119" s="23"/>
      <c r="H119" s="22"/>
      <c r="I119" s="23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3"/>
      <c r="D120" s="22"/>
      <c r="E120" s="23"/>
      <c r="F120" s="22"/>
      <c r="G120" s="23"/>
      <c r="H120" s="22"/>
      <c r="I120" s="23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3"/>
      <c r="D121" s="22"/>
      <c r="E121" s="23"/>
      <c r="F121" s="22"/>
      <c r="G121" s="23"/>
      <c r="H121" s="22"/>
      <c r="I121" s="23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3"/>
      <c r="D122" s="22"/>
      <c r="E122" s="23"/>
      <c r="F122" s="22"/>
      <c r="G122" s="23"/>
      <c r="H122" s="22"/>
      <c r="I122" s="23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3"/>
      <c r="D123" s="22"/>
      <c r="E123" s="23"/>
      <c r="F123" s="22"/>
      <c r="G123" s="23"/>
      <c r="H123" s="22"/>
      <c r="I123" s="23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3"/>
      <c r="D124" s="22"/>
      <c r="E124" s="23"/>
      <c r="F124" s="22"/>
      <c r="G124" s="23"/>
      <c r="H124" s="22"/>
      <c r="I124" s="23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3"/>
      <c r="D125" s="22"/>
      <c r="E125" s="23"/>
      <c r="F125" s="22"/>
      <c r="G125" s="23"/>
      <c r="H125" s="22"/>
      <c r="I125" s="23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3"/>
      <c r="D126" s="22"/>
      <c r="E126" s="23"/>
      <c r="F126" s="22"/>
      <c r="G126" s="23"/>
      <c r="H126" s="22"/>
      <c r="I126" s="23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3"/>
      <c r="D127" s="22"/>
      <c r="E127" s="23"/>
      <c r="F127" s="22"/>
      <c r="G127" s="23"/>
      <c r="H127" s="22"/>
      <c r="I127" s="23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3"/>
      <c r="D128" s="22"/>
      <c r="E128" s="23"/>
      <c r="F128" s="22"/>
      <c r="G128" s="23"/>
      <c r="H128" s="22"/>
      <c r="I128" s="23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3"/>
      <c r="D129" s="22"/>
      <c r="E129" s="23"/>
      <c r="F129" s="22"/>
      <c r="G129" s="23"/>
      <c r="H129" s="22"/>
      <c r="I129" s="23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3"/>
      <c r="D130" s="22"/>
      <c r="E130" s="23"/>
      <c r="F130" s="22"/>
      <c r="G130" s="23"/>
      <c r="H130" s="22"/>
      <c r="I130" s="23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3"/>
      <c r="D131" s="22"/>
      <c r="E131" s="23"/>
      <c r="F131" s="22"/>
      <c r="G131" s="23"/>
      <c r="H131" s="22"/>
      <c r="I131" s="23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3"/>
      <c r="D132" s="22"/>
      <c r="E132" s="23"/>
      <c r="F132" s="22"/>
      <c r="G132" s="23"/>
      <c r="H132" s="22"/>
      <c r="I132" s="23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3"/>
      <c r="D133" s="22"/>
      <c r="E133" s="23"/>
      <c r="F133" s="22"/>
      <c r="G133" s="23"/>
      <c r="H133" s="22"/>
      <c r="I133" s="23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3"/>
      <c r="D134" s="22"/>
      <c r="E134" s="23"/>
      <c r="F134" s="22"/>
      <c r="G134" s="23"/>
      <c r="H134" s="22"/>
      <c r="I134" s="23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3"/>
      <c r="D135" s="22"/>
      <c r="E135" s="23"/>
      <c r="F135" s="22"/>
      <c r="G135" s="23"/>
      <c r="H135" s="22"/>
      <c r="I135" s="23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3"/>
      <c r="D136" s="22"/>
      <c r="E136" s="23"/>
      <c r="F136" s="22"/>
      <c r="G136" s="23"/>
      <c r="H136" s="22"/>
      <c r="I136" s="23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3"/>
      <c r="D137" s="22"/>
      <c r="E137" s="23"/>
      <c r="F137" s="22"/>
      <c r="G137" s="23"/>
      <c r="H137" s="22"/>
      <c r="I137" s="23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3"/>
      <c r="D138" s="22"/>
      <c r="E138" s="23"/>
      <c r="F138" s="22"/>
      <c r="G138" s="23"/>
      <c r="H138" s="22"/>
      <c r="I138" s="23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3"/>
      <c r="D139" s="22"/>
      <c r="E139" s="23"/>
      <c r="F139" s="22"/>
      <c r="G139" s="23"/>
      <c r="H139" s="22"/>
      <c r="I139" s="23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3"/>
      <c r="D140" s="22"/>
      <c r="E140" s="23"/>
      <c r="F140" s="22"/>
      <c r="G140" s="23"/>
      <c r="H140" s="22"/>
      <c r="I140" s="23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3"/>
      <c r="D141" s="22"/>
      <c r="E141" s="23"/>
      <c r="F141" s="22"/>
      <c r="G141" s="23"/>
      <c r="H141" s="22"/>
      <c r="I141" s="23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3"/>
      <c r="D142" s="22"/>
      <c r="E142" s="23"/>
      <c r="F142" s="22"/>
      <c r="G142" s="23"/>
      <c r="H142" s="22"/>
      <c r="I142" s="23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3"/>
      <c r="D143" s="22"/>
      <c r="E143" s="23"/>
      <c r="F143" s="22"/>
      <c r="G143" s="23"/>
      <c r="H143" s="22"/>
      <c r="I143" s="23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3"/>
      <c r="D144" s="22"/>
      <c r="E144" s="23"/>
      <c r="F144" s="22"/>
      <c r="G144" s="23"/>
      <c r="H144" s="22"/>
      <c r="I144" s="23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3"/>
      <c r="D145" s="22"/>
      <c r="E145" s="23"/>
      <c r="F145" s="22"/>
      <c r="G145" s="23"/>
      <c r="H145" s="22"/>
      <c r="I145" s="23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3"/>
      <c r="D146" s="22"/>
      <c r="E146" s="23"/>
      <c r="F146" s="22"/>
      <c r="G146" s="23"/>
      <c r="H146" s="22"/>
      <c r="I146" s="23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3"/>
      <c r="D147" s="22"/>
      <c r="E147" s="23"/>
      <c r="F147" s="22"/>
      <c r="G147" s="23"/>
      <c r="H147" s="22"/>
      <c r="I147" s="23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3"/>
      <c r="D148" s="22"/>
      <c r="E148" s="23"/>
      <c r="F148" s="22"/>
      <c r="G148" s="23"/>
      <c r="H148" s="22"/>
      <c r="I148" s="23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3"/>
      <c r="D149" s="22"/>
      <c r="E149" s="23"/>
      <c r="F149" s="22"/>
      <c r="G149" s="23"/>
      <c r="H149" s="22"/>
      <c r="I149" s="23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3"/>
      <c r="D150" s="22"/>
      <c r="E150" s="23"/>
      <c r="F150" s="22"/>
      <c r="G150" s="23"/>
      <c r="H150" s="22"/>
      <c r="I150" s="23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3"/>
      <c r="D151" s="22"/>
      <c r="E151" s="23"/>
      <c r="F151" s="22"/>
      <c r="G151" s="23"/>
      <c r="H151" s="22"/>
      <c r="I151" s="23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3"/>
      <c r="D152" s="22"/>
      <c r="E152" s="23"/>
      <c r="F152" s="22"/>
      <c r="G152" s="23"/>
      <c r="H152" s="22"/>
      <c r="I152" s="2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3"/>
      <c r="D153" s="22"/>
      <c r="E153" s="23"/>
      <c r="F153" s="22"/>
      <c r="G153" s="23"/>
      <c r="H153" s="22"/>
      <c r="I153" s="23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3"/>
      <c r="D154" s="22"/>
      <c r="E154" s="23"/>
      <c r="F154" s="22"/>
      <c r="G154" s="23"/>
      <c r="H154" s="22"/>
      <c r="I154" s="23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3"/>
      <c r="D155" s="22"/>
      <c r="E155" s="23"/>
      <c r="F155" s="22"/>
      <c r="G155" s="23"/>
      <c r="H155" s="22"/>
      <c r="I155" s="23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3"/>
      <c r="D156" s="22"/>
      <c r="E156" s="23"/>
      <c r="F156" s="22"/>
      <c r="G156" s="23"/>
      <c r="H156" s="22"/>
      <c r="I156" s="23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3"/>
      <c r="D157" s="22"/>
      <c r="E157" s="23"/>
      <c r="F157" s="22"/>
      <c r="G157" s="23"/>
      <c r="H157" s="22"/>
      <c r="I157" s="23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3"/>
      <c r="D158" s="22"/>
      <c r="E158" s="23"/>
      <c r="F158" s="22"/>
      <c r="G158" s="23"/>
      <c r="H158" s="22"/>
      <c r="I158" s="23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3"/>
      <c r="D159" s="22"/>
      <c r="E159" s="23"/>
      <c r="F159" s="22"/>
      <c r="G159" s="23"/>
      <c r="H159" s="22"/>
      <c r="I159" s="23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3"/>
      <c r="D160" s="22"/>
      <c r="E160" s="23"/>
      <c r="F160" s="22"/>
      <c r="G160" s="23"/>
      <c r="H160" s="22"/>
      <c r="I160" s="23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3"/>
      <c r="D161" s="22"/>
      <c r="E161" s="23"/>
      <c r="F161" s="22"/>
      <c r="G161" s="23"/>
      <c r="H161" s="22"/>
      <c r="I161" s="23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3"/>
      <c r="D162" s="22"/>
      <c r="E162" s="23"/>
      <c r="F162" s="22"/>
      <c r="G162" s="23"/>
      <c r="H162" s="22"/>
      <c r="I162" s="23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3"/>
      <c r="D163" s="22"/>
      <c r="E163" s="23"/>
      <c r="F163" s="22"/>
      <c r="G163" s="23"/>
      <c r="H163" s="22"/>
      <c r="I163" s="23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3"/>
      <c r="D164" s="22"/>
      <c r="E164" s="23"/>
      <c r="F164" s="22"/>
      <c r="G164" s="23"/>
      <c r="H164" s="22"/>
      <c r="I164" s="23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3"/>
      <c r="D165" s="22"/>
      <c r="E165" s="23"/>
      <c r="F165" s="22"/>
      <c r="G165" s="23"/>
      <c r="H165" s="22"/>
      <c r="I165" s="23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3"/>
      <c r="D166" s="22"/>
      <c r="E166" s="23"/>
      <c r="F166" s="22"/>
      <c r="G166" s="23"/>
      <c r="H166" s="22"/>
      <c r="I166" s="23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3"/>
      <c r="D167" s="22"/>
      <c r="E167" s="23"/>
      <c r="F167" s="22"/>
      <c r="G167" s="23"/>
      <c r="H167" s="22"/>
      <c r="I167" s="23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3"/>
      <c r="D168" s="22"/>
      <c r="E168" s="23"/>
      <c r="F168" s="22"/>
      <c r="G168" s="23"/>
      <c r="H168" s="22"/>
      <c r="I168" s="23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3"/>
      <c r="D169" s="22"/>
      <c r="E169" s="23"/>
      <c r="F169" s="22"/>
      <c r="G169" s="23"/>
      <c r="H169" s="22"/>
      <c r="I169" s="23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3"/>
      <c r="D170" s="22"/>
      <c r="E170" s="23"/>
      <c r="F170" s="22"/>
      <c r="G170" s="23"/>
      <c r="H170" s="22"/>
      <c r="I170" s="23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3"/>
      <c r="D171" s="22"/>
      <c r="E171" s="23"/>
      <c r="F171" s="22"/>
      <c r="G171" s="23"/>
      <c r="H171" s="22"/>
      <c r="I171" s="23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3"/>
      <c r="D172" s="22"/>
      <c r="E172" s="23"/>
      <c r="F172" s="22"/>
      <c r="G172" s="23"/>
      <c r="H172" s="22"/>
      <c r="I172" s="23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3"/>
      <c r="D173" s="22"/>
      <c r="E173" s="23"/>
      <c r="F173" s="22"/>
      <c r="G173" s="23"/>
      <c r="H173" s="22"/>
      <c r="I173" s="23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3"/>
      <c r="D174" s="22"/>
      <c r="E174" s="23"/>
      <c r="F174" s="22"/>
      <c r="G174" s="23"/>
      <c r="H174" s="22"/>
      <c r="I174" s="23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3"/>
      <c r="D175" s="22"/>
      <c r="E175" s="23"/>
      <c r="F175" s="22"/>
      <c r="G175" s="23"/>
      <c r="H175" s="22"/>
      <c r="I175" s="23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3"/>
      <c r="D176" s="22"/>
      <c r="E176" s="23"/>
      <c r="F176" s="22"/>
      <c r="G176" s="23"/>
      <c r="H176" s="22"/>
      <c r="I176" s="23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3"/>
      <c r="D177" s="22"/>
      <c r="E177" s="23"/>
      <c r="F177" s="22"/>
      <c r="G177" s="23"/>
      <c r="H177" s="22"/>
      <c r="I177" s="23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3"/>
      <c r="D178" s="22"/>
      <c r="E178" s="23"/>
      <c r="F178" s="22"/>
      <c r="G178" s="23"/>
      <c r="H178" s="22"/>
      <c r="I178" s="23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3"/>
      <c r="D179" s="22"/>
      <c r="E179" s="23"/>
      <c r="F179" s="22"/>
      <c r="G179" s="23"/>
      <c r="H179" s="22"/>
      <c r="I179" s="23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3"/>
      <c r="D180" s="22"/>
      <c r="E180" s="23"/>
      <c r="F180" s="22"/>
      <c r="G180" s="23"/>
      <c r="H180" s="22"/>
      <c r="I180" s="23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3"/>
      <c r="D181" s="22"/>
      <c r="E181" s="23"/>
      <c r="F181" s="22"/>
      <c r="G181" s="23"/>
      <c r="H181" s="22"/>
      <c r="I181" s="23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3"/>
      <c r="D182" s="22"/>
      <c r="E182" s="23"/>
      <c r="F182" s="22"/>
      <c r="G182" s="23"/>
      <c r="H182" s="22"/>
      <c r="I182" s="23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3"/>
      <c r="D183" s="22"/>
      <c r="E183" s="23"/>
      <c r="F183" s="22"/>
      <c r="G183" s="23"/>
      <c r="H183" s="22"/>
      <c r="I183" s="23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3"/>
      <c r="D184" s="22"/>
      <c r="E184" s="23"/>
      <c r="F184" s="22"/>
      <c r="G184" s="23"/>
      <c r="H184" s="22"/>
      <c r="I184" s="23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3"/>
      <c r="D185" s="22"/>
      <c r="E185" s="23"/>
      <c r="F185" s="22"/>
      <c r="G185" s="23"/>
      <c r="H185" s="22"/>
      <c r="I185" s="23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3"/>
      <c r="D186" s="22"/>
      <c r="E186" s="23"/>
      <c r="F186" s="22"/>
      <c r="G186" s="23"/>
      <c r="H186" s="22"/>
      <c r="I186" s="23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3"/>
      <c r="D187" s="22"/>
      <c r="E187" s="23"/>
      <c r="F187" s="22"/>
      <c r="G187" s="23"/>
      <c r="H187" s="22"/>
      <c r="I187" s="23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3"/>
      <c r="D188" s="22"/>
      <c r="E188" s="23"/>
      <c r="F188" s="22"/>
      <c r="G188" s="23"/>
      <c r="H188" s="22"/>
      <c r="I188" s="23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3"/>
      <c r="D189" s="22"/>
      <c r="E189" s="23"/>
      <c r="F189" s="22"/>
      <c r="G189" s="23"/>
      <c r="H189" s="22"/>
      <c r="I189" s="23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3"/>
      <c r="D190" s="22"/>
      <c r="E190" s="23"/>
      <c r="F190" s="22"/>
      <c r="G190" s="23"/>
      <c r="H190" s="22"/>
      <c r="I190" s="23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3"/>
      <c r="D191" s="22"/>
      <c r="E191" s="23"/>
      <c r="F191" s="22"/>
      <c r="G191" s="23"/>
      <c r="H191" s="22"/>
      <c r="I191" s="23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3"/>
      <c r="D192" s="22"/>
      <c r="E192" s="23"/>
      <c r="F192" s="22"/>
      <c r="G192" s="23"/>
      <c r="H192" s="22"/>
      <c r="I192" s="23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3"/>
      <c r="D193" s="22"/>
      <c r="E193" s="23"/>
      <c r="F193" s="22"/>
      <c r="G193" s="23"/>
      <c r="H193" s="22"/>
      <c r="I193" s="23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3"/>
      <c r="D194" s="22"/>
      <c r="E194" s="23"/>
      <c r="F194" s="22"/>
      <c r="G194" s="23"/>
      <c r="H194" s="22"/>
      <c r="I194" s="23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3"/>
      <c r="D195" s="22"/>
      <c r="E195" s="23"/>
      <c r="F195" s="22"/>
      <c r="G195" s="23"/>
      <c r="H195" s="22"/>
      <c r="I195" s="23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3"/>
      <c r="D196" s="22"/>
      <c r="E196" s="23"/>
      <c r="F196" s="22"/>
      <c r="G196" s="23"/>
      <c r="H196" s="22"/>
      <c r="I196" s="23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3"/>
      <c r="D197" s="22"/>
      <c r="E197" s="23"/>
      <c r="F197" s="22"/>
      <c r="G197" s="23"/>
      <c r="H197" s="22"/>
      <c r="I197" s="23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3"/>
      <c r="D198" s="22"/>
      <c r="E198" s="23"/>
      <c r="F198" s="22"/>
      <c r="G198" s="23"/>
      <c r="H198" s="22"/>
      <c r="I198" s="23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3"/>
      <c r="D199" s="22"/>
      <c r="E199" s="23"/>
      <c r="F199" s="22"/>
      <c r="G199" s="23"/>
      <c r="H199" s="22"/>
      <c r="I199" s="23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3"/>
      <c r="D200" s="22"/>
      <c r="E200" s="23"/>
      <c r="F200" s="22"/>
      <c r="G200" s="23"/>
      <c r="H200" s="22"/>
      <c r="I200" s="23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3"/>
      <c r="D201" s="22"/>
      <c r="E201" s="23"/>
      <c r="F201" s="22"/>
      <c r="G201" s="23"/>
      <c r="H201" s="22"/>
      <c r="I201" s="23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3"/>
      <c r="D202" s="22"/>
      <c r="E202" s="23"/>
      <c r="F202" s="22"/>
      <c r="G202" s="23"/>
      <c r="H202" s="22"/>
      <c r="I202" s="23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3"/>
      <c r="D203" s="22"/>
      <c r="E203" s="23"/>
      <c r="F203" s="22"/>
      <c r="G203" s="23"/>
      <c r="H203" s="22"/>
      <c r="I203" s="23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3"/>
      <c r="D204" s="22"/>
      <c r="E204" s="23"/>
      <c r="F204" s="22"/>
      <c r="G204" s="23"/>
      <c r="H204" s="22"/>
      <c r="I204" s="23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3"/>
      <c r="D205" s="22"/>
      <c r="E205" s="23"/>
      <c r="F205" s="22"/>
      <c r="G205" s="23"/>
      <c r="H205" s="22"/>
      <c r="I205" s="23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3"/>
      <c r="D206" s="22"/>
      <c r="E206" s="23"/>
      <c r="F206" s="22"/>
      <c r="G206" s="23"/>
      <c r="H206" s="22"/>
      <c r="I206" s="23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3"/>
      <c r="D207" s="22"/>
      <c r="E207" s="23"/>
      <c r="F207" s="22"/>
      <c r="G207" s="23"/>
      <c r="H207" s="22"/>
      <c r="I207" s="23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3"/>
      <c r="D208" s="22"/>
      <c r="E208" s="23"/>
      <c r="F208" s="22"/>
      <c r="G208" s="23"/>
      <c r="H208" s="22"/>
      <c r="I208" s="23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3"/>
      <c r="D209" s="22"/>
      <c r="E209" s="23"/>
      <c r="F209" s="22"/>
      <c r="G209" s="23"/>
      <c r="H209" s="22"/>
      <c r="I209" s="23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3"/>
      <c r="D210" s="22"/>
      <c r="E210" s="23"/>
      <c r="F210" s="22"/>
      <c r="G210" s="23"/>
      <c r="H210" s="22"/>
      <c r="I210" s="23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3"/>
      <c r="D211" s="22"/>
      <c r="E211" s="23"/>
      <c r="F211" s="22"/>
      <c r="G211" s="23"/>
      <c r="H211" s="22"/>
      <c r="I211" s="23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3"/>
      <c r="D212" s="22"/>
      <c r="E212" s="23"/>
      <c r="F212" s="22"/>
      <c r="G212" s="23"/>
      <c r="H212" s="22"/>
      <c r="I212" s="23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3"/>
      <c r="D213" s="22"/>
      <c r="E213" s="23"/>
      <c r="F213" s="22"/>
      <c r="G213" s="23"/>
      <c r="H213" s="22"/>
      <c r="I213" s="23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3"/>
      <c r="D214" s="22"/>
      <c r="E214" s="23"/>
      <c r="F214" s="22"/>
      <c r="G214" s="23"/>
      <c r="H214" s="22"/>
      <c r="I214" s="23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3"/>
      <c r="D215" s="22"/>
      <c r="E215" s="23"/>
      <c r="F215" s="22"/>
      <c r="G215" s="23"/>
      <c r="H215" s="22"/>
      <c r="I215" s="23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3"/>
      <c r="D216" s="22"/>
      <c r="E216" s="23"/>
      <c r="F216" s="22"/>
      <c r="G216" s="23"/>
      <c r="H216" s="22"/>
      <c r="I216" s="23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3"/>
      <c r="D217" s="22"/>
      <c r="E217" s="23"/>
      <c r="F217" s="22"/>
      <c r="G217" s="23"/>
      <c r="H217" s="22"/>
      <c r="I217" s="23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3"/>
      <c r="D218" s="22"/>
      <c r="E218" s="23"/>
      <c r="F218" s="22"/>
      <c r="G218" s="23"/>
      <c r="H218" s="22"/>
      <c r="I218" s="23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3"/>
      <c r="D219" s="22"/>
      <c r="E219" s="23"/>
      <c r="F219" s="22"/>
      <c r="G219" s="23"/>
      <c r="H219" s="22"/>
      <c r="I219" s="23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3"/>
      <c r="D220" s="22"/>
      <c r="E220" s="23"/>
      <c r="F220" s="22"/>
      <c r="G220" s="23"/>
      <c r="H220" s="22"/>
      <c r="I220" s="23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H9:I9"/>
    <mergeCell ref="D2:H2"/>
    <mergeCell ref="B3:C3"/>
    <mergeCell ref="D3:E3"/>
    <mergeCell ref="F3:G3"/>
    <mergeCell ref="H3:I3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12</vt:i4>
      </vt:variant>
    </vt:vector>
  </HeadingPairs>
  <TitlesOfParts>
    <vt:vector size="16" baseType="lpstr">
      <vt:lpstr>Proposta</vt:lpstr>
      <vt:lpstr>Intermediacao</vt:lpstr>
      <vt:lpstr>Bordero Lancamento</vt:lpstr>
      <vt:lpstr>FLUXO</vt:lpstr>
      <vt:lpstr>'Bordero Lancamento'!Area_de_impressao</vt:lpstr>
      <vt:lpstr>Intermediacao!Area_de_impressao</vt:lpstr>
      <vt:lpstr>Proposta!Area_de_impressao</vt:lpstr>
      <vt:lpstr>Excel_BuiltIn_Print_Area_1_1</vt:lpstr>
      <vt:lpstr>Excel_BuiltIn_Print_Area_2</vt:lpstr>
      <vt:lpstr>Excel_BuiltIn_Print_Area_2_1</vt:lpstr>
      <vt:lpstr>Proposta!Selecionar1</vt:lpstr>
      <vt:lpstr>Proposta!Selecionar2</vt:lpstr>
      <vt:lpstr>Proposta!Selecionar3</vt:lpstr>
      <vt:lpstr>Proposta!Selecionar4</vt:lpstr>
      <vt:lpstr>Proposta!Selecionar5</vt:lpstr>
      <vt:lpstr>Proposta!Selecionar8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Microsoft Office User</cp:lastModifiedBy>
  <cp:lastPrinted>2021-08-19T10:24:02Z</cp:lastPrinted>
  <dcterms:created xsi:type="dcterms:W3CDTF">2021-05-11T13:32:41Z</dcterms:created>
  <dcterms:modified xsi:type="dcterms:W3CDTF">2022-10-24T19:48:45Z</dcterms:modified>
</cp:coreProperties>
</file>