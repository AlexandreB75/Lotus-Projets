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aveira/Library/Mobile Documents/com~apple~CloudDocs/4. ROCKET/2.Clientes/2. Ricardo Martins My Broker/2. PRODUTOS/Meu 1 Imovel/Planilhas/"/>
    </mc:Choice>
  </mc:AlternateContent>
  <xr:revisionPtr revIDLastSave="0" documentId="13_ncr:1_{7DFB5CEC-4095-8F4B-A46D-85A8CB8431A1}" xr6:coauthVersionLast="47" xr6:coauthVersionMax="47" xr10:uidLastSave="{00000000-0000-0000-0000-000000000000}"/>
  <bookViews>
    <workbookView xWindow="640" yWindow="460" windowWidth="37680" windowHeight="21140" xr2:uid="{11C5C2C7-269F-4A4C-927F-4EBA3CF4D6A4}"/>
  </bookViews>
  <sheets>
    <sheet name="MODELAGEM" sheetId="1" r:id="rId1"/>
    <sheet name="MATRIZ CHA" sheetId="13" r:id="rId2"/>
    <sheet name="PLANEJAMENTO" sheetId="12" r:id="rId3"/>
    <sheet name="LISTA DE PROSPECÇÃO" sheetId="3" r:id="rId4"/>
    <sheet name="SCRIPT DE ABERTURA" sheetId="4" r:id="rId5"/>
    <sheet name="PERGUNTAS PODEROSAS" sheetId="5" r:id="rId6"/>
    <sheet name="CANVA DO CLIENTE" sheetId="6" r:id="rId7"/>
    <sheet name="EFEITO UAU" sheetId="7" r:id="rId8"/>
    <sheet name="OBJEÇÕES" sheetId="8" r:id="rId9"/>
    <sheet name="PROPOSTA DE FECHAMENTO" sheetId="9" r:id="rId10"/>
    <sheet name="AGENDA DO CORRETOR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8" i="9" l="1"/>
  <c r="G57" i="9"/>
  <c r="G56" i="9"/>
  <c r="G55" i="9"/>
  <c r="G59" i="9" s="1"/>
  <c r="G48" i="9"/>
  <c r="G47" i="9"/>
  <c r="G46" i="9"/>
  <c r="G45" i="9"/>
  <c r="G44" i="9"/>
  <c r="G43" i="9"/>
  <c r="G42" i="9"/>
  <c r="G41" i="9"/>
  <c r="G49" i="9" s="1"/>
  <c r="F61" i="9" l="1"/>
  <c r="F63" i="9" s="1"/>
  <c r="D23" i="12"/>
  <c r="E26" i="12" s="1"/>
  <c r="B28" i="12" s="1"/>
  <c r="B36" i="12" s="1"/>
  <c r="B42" i="12" s="1"/>
</calcChain>
</file>

<file path=xl/sharedStrings.xml><?xml version="1.0" encoding="utf-8"?>
<sst xmlns="http://schemas.openxmlformats.org/spreadsheetml/2006/main" count="408" uniqueCount="327">
  <si>
    <t>REFERÊNCIA</t>
  </si>
  <si>
    <t>PERFIL</t>
  </si>
  <si>
    <t>PONTOS FORTES</t>
  </si>
  <si>
    <t>INSIGHTS</t>
  </si>
  <si>
    <t>Instagram</t>
  </si>
  <si>
    <t>Youtube</t>
  </si>
  <si>
    <t>Tik Tok</t>
  </si>
  <si>
    <t>AÇÃO</t>
  </si>
  <si>
    <t xml:space="preserve"> Esta planilha se refere à lista de corretores imobiliários que você admira e deseja modelar. 
 1. Na coluna REFERÊNCIA, coloque o nome do profissional que você percebe como autoridade no seu mercado;
 2. Na coluna PERFIL, coloque o endereço do perfil do profissional nas redes sociais e caso você queira adicionar alguma rede social, aumente uma linha - esta planilha está desprotegida;
 3. Na coluna PONTOS FORTES você vai observar elementos que te chamam a atenção. DICA: observe as postagens que tem um número maior de comentários e leia o que as pessoas estão falando sobre isso. 
Este é  um importante exercício - observar a reação da audiência, e pode te trazer poderosos insights. 
 4. Na coluna INSIGHTS cite ideias que você teve a partir das suas observações;
 5. Na coluna AÇÃO cite pelo menos 2 ações que você pode realizar a partir das suas observações</t>
  </si>
  <si>
    <t xml:space="preserve">NOME </t>
  </si>
  <si>
    <t>ORIGEM</t>
  </si>
  <si>
    <t>INDICAÇÃO</t>
  </si>
  <si>
    <t>PRIMEIRO CONTATO</t>
  </si>
  <si>
    <t>NICHOS DE ATUAÇÃO</t>
  </si>
  <si>
    <t>TICKET MEDIO</t>
  </si>
  <si>
    <t>MCMV</t>
  </si>
  <si>
    <t>POPULAR</t>
  </si>
  <si>
    <t>MÉDIO</t>
  </si>
  <si>
    <t>ALTO PADRÃO</t>
  </si>
  <si>
    <t>QUAL O SEU NICHO?</t>
  </si>
  <si>
    <t>médio padrão</t>
  </si>
  <si>
    <t>QUAL O TICKET MÉDIO?</t>
  </si>
  <si>
    <t>SOBRE A SUA COMISSÃO</t>
  </si>
  <si>
    <t>QUAL É O (%) DA SUA COMISSÃO?</t>
  </si>
  <si>
    <t>QUAL É A SUA COMISSÃO (R$)?</t>
  </si>
  <si>
    <t>META DE VENDAS (EM QUANTIDADE DE IMÓVEIS)</t>
  </si>
  <si>
    <t>COM QUANTAS PESSOAS VOCÊ PRECISA FALAR POR MÊS</t>
  </si>
  <si>
    <t>Qual é a sua taxa de conversão, ou seja, a cada 100 pessoas, quantas fecham negócio com você?</t>
  </si>
  <si>
    <t>TAXA DE CONVERSÃO</t>
  </si>
  <si>
    <t xml:space="preserve">META DE CONTATOS/ LIGAÇÕES (MENSAL) </t>
  </si>
  <si>
    <t>COM QUANTAS PESSOAS VOCÊ PRECISA FALAR POR DIA?</t>
  </si>
  <si>
    <t>DIAS DE TRABALHO POR MÊS</t>
  </si>
  <si>
    <t>META DE CONTATOS/ LIGAÇÕES (DIA)</t>
  </si>
  <si>
    <t>PLANEJAMENTO PARA ALCANÇAR A SUA PRIMEIRA VENDA</t>
  </si>
  <si>
    <t>META DA SUA PRIMEIRA COMISSÃO</t>
  </si>
  <si>
    <t>META DE VENDA (MINHA PRIMEIRA VENDA)</t>
  </si>
  <si>
    <t xml:space="preserve">META DE VENDA </t>
  </si>
  <si>
    <t xml:space="preserve">Essa planilha vai te ajudar a definir a quantidade de ligações que você precisa fazer por mês e por dia para fechar a sua primeira venda. </t>
  </si>
  <si>
    <t xml:space="preserve">Como você viu na aula, a MATRIZ CHA trabalha CONHECIMENTO, HABILIDADE E ATITUDE. Esses 3 pilares são fundamentais e estruturantes para o seu desenvolvimento pessoal e profissional. 
Nesta planilha, você vai encontrar mais que uma matriz, mas um plano de desenvolvimento do seu CHA. No pilar conhecimento detalhamos pra você todos os nossos programas de treinamento e desenvolvimento para que você se torne um profissional cada vez mais qualificado, fazendo as maiores comissões da sua região. Caso tenha interesse em alguma outro programa, entre em contato com a nossa equipe pelo e-mail: contato@ricardomartinsbroker.com.br
Na parte referente a HABILIDADES, selecionamos habilidades fundamentais para você performar bem na profissão, e o objetivo é que você dê uma nota para a sua performance nessa habilidade. Caso a nota seja ruim, faça uma autoavaliação e se concentre em desenvolver essa habilidade no seu dia a dia. 
Na parte referente a ATITUDES, seguimos o mesmo raciocínio do pilar anterior, ou seja, você vai dar uma nota (avaliação sincera) sobre como você é em relação a atitude citada, e aquelas que forem mal avaliadas e que estejam te atrapalhando a conquistar seus resultados, devem ser trabalhadas, melhoradas. As atitudes que são suas forças, ou seja, que você está bem avaliado, fortaleça-as ainda mais, pois são elas que vão diferenciar você dos demais corretores do mercado. </t>
  </si>
  <si>
    <t>não iniciado</t>
  </si>
  <si>
    <t>META</t>
  </si>
  <si>
    <t>CONHECIMENTO</t>
  </si>
  <si>
    <t>TIPO</t>
  </si>
  <si>
    <t>STATUS</t>
  </si>
  <si>
    <t>em andamento</t>
  </si>
  <si>
    <t>PROGRAMA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</si>
  <si>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</si>
  <si>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</si>
  <si>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</si>
  <si>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</si>
  <si>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</si>
  <si>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</si>
  <si>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</si>
  <si>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</si>
  <si>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</si>
  <si>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</si>
  <si>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</si>
  <si>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</si>
  <si>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concluído</t>
  </si>
  <si>
    <t>INICIANTE (zero vendas a R$ 2.5M em VGV)
GOLD (De R$ 2,5M a R$ 5M em VGV)</t>
  </si>
  <si>
    <t>CERTIFICAÇÃO GOLDEN</t>
  </si>
  <si>
    <t>matriculado</t>
  </si>
  <si>
    <t>1. Start Broker</t>
  </si>
  <si>
    <t>online</t>
  </si>
  <si>
    <t>2. Dominando a HP 12C</t>
  </si>
  <si>
    <t>3. Vídeos Imobiliários</t>
  </si>
  <si>
    <t>4. Desbloqueio hipnótico</t>
  </si>
  <si>
    <t>presencial</t>
  </si>
  <si>
    <t>PLAT (De R$ 5M a R$ 10M em VGV)
BLACK (De R$ 10M a R$ 20M em VGV)
ELITE ( + R$ 20M em VGV)</t>
  </si>
  <si>
    <t>CERTIFICAÇÃO ELITE</t>
  </si>
  <si>
    <t>5. Corretor de Elite</t>
  </si>
  <si>
    <t>6. Master em Branding Pessoal</t>
  </si>
  <si>
    <t>7. Master em Marketing Imobiliário</t>
  </si>
  <si>
    <t>8. Alta Performance</t>
  </si>
  <si>
    <t>9. Master em vendas e negociação</t>
  </si>
  <si>
    <t>10. Investimentos Imobiliários</t>
  </si>
  <si>
    <t>HABILIDADES ESSENCIAIS</t>
  </si>
  <si>
    <t>DESCRIÇÃO</t>
  </si>
  <si>
    <t>NOTA</t>
  </si>
  <si>
    <t>Conhecer pessoas e estabelecer relacionamento</t>
  </si>
  <si>
    <t xml:space="preserve">Manter bons relacionamentos </t>
  </si>
  <si>
    <t xml:space="preserve">Se comunicar com clareza </t>
  </si>
  <si>
    <t>Ser simpático</t>
  </si>
  <si>
    <t>Ter empatia</t>
  </si>
  <si>
    <t>Ouvir as necessidades dos clientes</t>
  </si>
  <si>
    <t>Prospectar vendedores</t>
  </si>
  <si>
    <t>Prospectar compradores</t>
  </si>
  <si>
    <t>Fazer conta e simular planos de pagamento</t>
  </si>
  <si>
    <t>Contornar objeções</t>
  </si>
  <si>
    <t>Saber negociar sem ser chato</t>
  </si>
  <si>
    <t>Conduzir o cliente para o fechamento da venda</t>
  </si>
  <si>
    <t>Falar com desenvoltura</t>
  </si>
  <si>
    <t>Produzir conteúdo para as redes sociais</t>
  </si>
  <si>
    <t>Gerir as métricas das redes sociais</t>
  </si>
  <si>
    <t>Produzir vídeos imobiliários</t>
  </si>
  <si>
    <t>Se promover como marca pessoal</t>
  </si>
  <si>
    <t>Fazer follow up</t>
  </si>
  <si>
    <t>Fazer CRM</t>
  </si>
  <si>
    <t>Ter habillidade de bater meta</t>
  </si>
  <si>
    <t>Ter habilidade de superar desafios</t>
  </si>
  <si>
    <t>Ter clareza sobre objetivos de curto, médio e longo prazo</t>
  </si>
  <si>
    <t>ATITUDES TRANSFORMADORAS</t>
  </si>
  <si>
    <t>Assumir a profissão como plano A (o corretor tá ON!)</t>
  </si>
  <si>
    <t xml:space="preserve">Trabalhe duro! </t>
  </si>
  <si>
    <t>Ser ético</t>
  </si>
  <si>
    <t>Ser extremamente profissional em todos os detalhes</t>
  </si>
  <si>
    <t>Ter autoestima elevada</t>
  </si>
  <si>
    <t>Praticar atividades físicas regularmente</t>
  </si>
  <si>
    <t>Se alimentar bem para a saúde do corpo</t>
  </si>
  <si>
    <t>Se vestir bem para você mesmo</t>
  </si>
  <si>
    <t xml:space="preserve">Praticar a fé </t>
  </si>
  <si>
    <t>Praticar a autoresponsabilidade</t>
  </si>
  <si>
    <t>Usar palavras positivas</t>
  </si>
  <si>
    <t>Ter uma rotina de desenvolvimento intelectual</t>
  </si>
  <si>
    <t>Ler 1 livro por mês sobre persuasão, e/ou vendas</t>
  </si>
  <si>
    <t>Usar o domingo para planejar a semana</t>
  </si>
  <si>
    <t>Ter foco (saber dizer não)</t>
  </si>
  <si>
    <t>Ter disciplina e constância</t>
  </si>
  <si>
    <t>Ter iniciativa e eliminar a procrastinação da vida</t>
  </si>
  <si>
    <t>Praticar a metodologia dos rounds para aumentar a produtividade</t>
  </si>
  <si>
    <t xml:space="preserve">Conhecer tecnicamente (e em profundidade) os produtos </t>
  </si>
  <si>
    <t>Se preocupar verdadeiramente em gerar valor para o cliente</t>
  </si>
  <si>
    <t>Sair de casa com a intenção (energia certa) de vender</t>
  </si>
  <si>
    <t>Comemorar as pequenas vitórias com familiares, amigos e clientes</t>
  </si>
  <si>
    <t>Peça indicação</t>
  </si>
  <si>
    <t>ORGANIZAÇÃO É O PODER! 
Na tabela abaixo, liste todas as pessoas que você conhece para entrar em contato com elas. Esta será a sua lista dos 100 contatos (ou seja, pelo menos 100 pessoas que você vai ligar com o objetivo de se apresentar como corretor(a) de imóveis e oferecer a sua ajuda.
Peça indicação de outros 3 nosmes. Anote, e entre em contato, se apresentando como uma indicação.</t>
  </si>
  <si>
    <t xml:space="preserve">1. </t>
  </si>
  <si>
    <t>2.</t>
  </si>
  <si>
    <t>3.</t>
  </si>
  <si>
    <t>Feito</t>
  </si>
  <si>
    <t>A fazer</t>
  </si>
  <si>
    <t>TELEFONE / WHATSAPP</t>
  </si>
  <si>
    <t>ROTEIRO DO SEU SCRIPT DE ABERTURA DA VENDA</t>
  </si>
  <si>
    <t>ESCREVA SEU PITCH DE ABERTURA DA VENDA</t>
  </si>
  <si>
    <t>PERGUNTAS PODEROSAS PARA CONHECER O SEU CLIENTE</t>
  </si>
  <si>
    <t xml:space="preserve">LEMBRE-SE: SEU CLIENTE NÃO ESTÁ INTERESSADO EM VOCÊ, ELE ESTÁ INTERESSADO NO QUE VOCÊ PODE FAZER POR ELE. </t>
  </si>
  <si>
    <t>2. Diga seu nome e se apresente como um profissional especialista em investimentos imobiliários;</t>
  </si>
  <si>
    <t>1. Pergunte o nome do(s) seu(s) cliente(s), e chame-o(s) sempre pelo nome;</t>
  </si>
  <si>
    <t>3. Diga (com as suas palavras) que você está ali para ajudar o seu cliente a fazer um excelente negócio, encontrando o produto adequado pra ele;</t>
  </si>
  <si>
    <t xml:space="preserve">DICAS: </t>
  </si>
  <si>
    <t>Saia de casa disposto a vender!</t>
  </si>
  <si>
    <t>Pratique as posturas de poder antes de encontrar o seu cliente!</t>
  </si>
  <si>
    <t>Cuide da sua aparência, vista-se bem - a primeira impressão é a que fica.</t>
  </si>
  <si>
    <t>Estabeleça conexão por meio do rapport</t>
  </si>
  <si>
    <t xml:space="preserve">Muito bom senso na hora de passar perfume - lembre-se que temos 5 sentidos. </t>
  </si>
  <si>
    <t>EXEMPLO:</t>
  </si>
  <si>
    <t>"Bom dia, qual é o seu nome? Oi Ricardo, eu sou a Chris, eu trabalho na My Broker, que é uma imobiliária de muita referência no mercado - e eu estou aqui pra te atender de ponta a ponta. Desde te ajudar a encontrar o imóvel certo, te orientar nas melhores formas de pagamento, cartório, enfim... até você receber as chaves da sua casa nova. Conta comigo e independente de você gostar ou não do primeiro imóvel que eu vou te apresentar, meu objetivo é entender o que você quer pra te apresentar as melhores oportunidades do mercado, poupando inclusive, o seu tempo. Meu trabalho é encontrar o melhor pra você! ; )</t>
  </si>
  <si>
    <t>NÃO COPIE ESTE EXEMPLO! FAÇA O SEU PITCH, COM AS SUAS PALAVRAS E O SEU JEITO DE FALAR! SEJA VOCÊ!</t>
  </si>
  <si>
    <t>Você tem filhos?</t>
  </si>
  <si>
    <t xml:space="preserve">Na etapa da sondagem, é importante que você interaja e se relacione com o seu cliente, entendendo o que é importante pra ele. LEMBRE-SE: Seu objetivo é ajudar o seu cliente a fazer um excelente negócio, servindo-o da melhor forma possível!
DICAS:
Pergunte com respeito e empatia.
Ouça com respeito e empatia. 
Use um tom de voz apropriado e pratique o rapport para se conectar
Não seja mono tom e varie o timbre, o tom e a entonação de voz para dar vida ao diálogo
Olhe nos olhos do cliente enquanto está conversando com ele (escute olhando para o olho direito ele e fale olhando para o olho esquerdo dele - essa dica vai te ajudar a ter uma comunicação mais magnética.
Nunca critique as respostas do seu cliente. Respeite, por mais absurdas que elas possam parecer. 
Respire! Dê tempo às perguntas e às respostas. </t>
  </si>
  <si>
    <t xml:space="preserve">O que mais você gosta na região onde você mora? </t>
  </si>
  <si>
    <t>Como você gosta de ser chamado?</t>
  </si>
  <si>
    <t>Como se chama a sua esposa ou o seu marido?</t>
  </si>
  <si>
    <t xml:space="preserve">Você é casado(a)? </t>
  </si>
  <si>
    <t>Onde eles estudam?</t>
  </si>
  <si>
    <t>O que eles gostam de fazer? Cite alguma história pessoal que envolva criança (filho, sobrinho, etc.)</t>
  </si>
  <si>
    <t>Você tem costume de investir em imóveis?</t>
  </si>
  <si>
    <t>Já teve experiência com algum corretor ou imobiliária?</t>
  </si>
  <si>
    <t>Me fala um pouco dessa experiência com a imobiliária ou corretor?</t>
  </si>
  <si>
    <t xml:space="preserve">O que eu posso fazer pra te ajudar? </t>
  </si>
  <si>
    <t>Tem alguma coisa que você acha mais difícil na hora de encontrar um imóvel?</t>
  </si>
  <si>
    <t>Fale sobre alguma atualidade e pergunte a opinião do cliente: o que você acha sobre isso? Deixe ele falar...</t>
  </si>
  <si>
    <t>Torce para algum clube de futebol? Quando ele responder, repita o nome do clube como pergunta, e deixe-o falar...</t>
  </si>
  <si>
    <t>Você tem alguma atividade profissional? Com o que você trabalha?</t>
  </si>
  <si>
    <t>Você gosta do seu trabalho? Me fala mais sobre isso...</t>
  </si>
  <si>
    <t>Como você está se sentindo hoje?</t>
  </si>
  <si>
    <t>E como funciona? Se mostre interessado pelo trabalho dele...</t>
  </si>
  <si>
    <t>Como eu poderia te ajudar 10 vezes mais?</t>
  </si>
  <si>
    <t>Quando você diz... O que você quer dizer?</t>
  </si>
  <si>
    <t>O que significa... Pra você?</t>
  </si>
  <si>
    <t>Eu estou entendendo da forma correta?</t>
  </si>
  <si>
    <t>O que seus pais fazem?</t>
  </si>
  <si>
    <t>QUESTÕES QUE EVOCAM AS NECESSIDADES DO SEU CLIENTE</t>
  </si>
  <si>
    <t>Quantos filhos você tem?</t>
  </si>
  <si>
    <t>Qual o nome do(s) seu(s) filho(s)?</t>
  </si>
  <si>
    <t>Qual a idade deles ... (falar o nome dos filhos)?</t>
  </si>
  <si>
    <t xml:space="preserve">Eles gostam de PET? </t>
  </si>
  <si>
    <t xml:space="preserve">Você tem algum pet? Quantos? </t>
  </si>
  <si>
    <t>Eles dão trabalho?</t>
  </si>
  <si>
    <t>Você costuma receber amigos em casa?</t>
  </si>
  <si>
    <t>Vocês estão juntos há quanto tempo?</t>
  </si>
  <si>
    <t>Você pratica atividade física?</t>
  </si>
  <si>
    <t>Tem algum esporte que você mais gosta?</t>
  </si>
  <si>
    <t>Quais são as 5 coisas que você mais gosta no lugar onde você mora hoje?</t>
  </si>
  <si>
    <t>Quais são as 5 coisas mais importantes pra você num apartamento ou casa?</t>
  </si>
  <si>
    <t>QUESTÕES QUE EVOCAM AS DORES E OS PROBLEMAS DO SEU CLIENTE</t>
  </si>
  <si>
    <t>Onde você mora hoje?</t>
  </si>
  <si>
    <t>Você costuma sair pra restaurante, barzinho?</t>
  </si>
  <si>
    <t>O que você costuma fazer pra se divertir (lazer)?</t>
  </si>
  <si>
    <t>Você já fez financiamento bancário pra comprar imóvel?</t>
  </si>
  <si>
    <t>Conhece sobre financiamento?</t>
  </si>
  <si>
    <t>Você já teve algum tipo de assessoria pra investir na compra de um imóveis?</t>
  </si>
  <si>
    <t xml:space="preserve">O que você precisa hoje? </t>
  </si>
  <si>
    <t xml:space="preserve">Como eu posso te ajudar? </t>
  </si>
  <si>
    <t xml:space="preserve">Quais as 5 coisas que você diria... Não vivo sem isso aqui... </t>
  </si>
  <si>
    <t>Sobre o lugar que você mora... Quais são as 5 coisas que mais te incomodam?</t>
  </si>
  <si>
    <t>O que te motivou a buscar um novo imóvel pra morar (foco em dores e problemas)?</t>
  </si>
  <si>
    <t>O que te motivou a buscar um novo imóvel pra morar (foco em necessidade)?</t>
  </si>
  <si>
    <t>O que você não gosta na região que você mora?</t>
  </si>
  <si>
    <t xml:space="preserve">Você lida bem com o barulho no seu prédio? </t>
  </si>
  <si>
    <t>Como é o trânsito na sua região?</t>
  </si>
  <si>
    <t>Você mora perto do seu trabalho?</t>
  </si>
  <si>
    <t xml:space="preserve">Você recebe seus amigos de boa na sua casa? </t>
  </si>
  <si>
    <t xml:space="preserve">Os seus pais moram perto de você? </t>
  </si>
  <si>
    <t xml:space="preserve">Onde você costuma passar o ... Natal (datas comemorativas)? </t>
  </si>
  <si>
    <t xml:space="preserve">Você tem carro? </t>
  </si>
  <si>
    <t>Quantos carros você tem?</t>
  </si>
  <si>
    <t>QUESTÕES QUE EVOCAM DESEJOS E OPORTUNIDADES</t>
  </si>
  <si>
    <t>Qual o carro que mais te atrai?</t>
  </si>
  <si>
    <t xml:space="preserve">Você tem funcionária em casa? </t>
  </si>
  <si>
    <t>Você tem babá? Ela dorme em casa?</t>
  </si>
  <si>
    <t>O que te motivou a buscar um novo imóvel (focar em desejo)?</t>
  </si>
  <si>
    <t>Que qualidade de vida você quer ter?</t>
  </si>
  <si>
    <t>Você tem planos para o futuro?</t>
  </si>
  <si>
    <t>Tem alguma coisa que você sonha em adquirir?</t>
  </si>
  <si>
    <t>Quais são as 5 coisas mais importantes na sua vida?</t>
  </si>
  <si>
    <t>Por que elas são importantes?</t>
  </si>
  <si>
    <t>Quais são os princípios que te guiam?</t>
  </si>
  <si>
    <t>O quanto você quer isso?</t>
  </si>
  <si>
    <t>Na sua casa nova... Me fala de 5 coisas que não podem faltar?</t>
  </si>
  <si>
    <t>O que você tá buscando na vizinhança? No bairro, na região onde você quer morar?</t>
  </si>
  <si>
    <t>O que você quer?</t>
  </si>
  <si>
    <t>Você tem clareza do que você quer?</t>
  </si>
  <si>
    <t xml:space="preserve">Tem algum imóvel que você já viu e que você pensou... UAU? Qual? </t>
  </si>
  <si>
    <t>Com o que você trabalha?</t>
  </si>
  <si>
    <t xml:space="preserve">Você gosta do seu trabalho? </t>
  </si>
  <si>
    <t xml:space="preserve">Como é a sua vizinhança? Tem algum problema? </t>
  </si>
  <si>
    <t>Você gosta de visitar imóveis ou ver pela internet é uma boa opção?</t>
  </si>
  <si>
    <t xml:space="preserve">Quais as regiões que você mais gosta da cidade? </t>
  </si>
  <si>
    <t>Tem alguma região na cidade que você não quer de jeito nenhum?</t>
  </si>
  <si>
    <t>QUESTÕES QUE EVOCAM TENDÊNCIAS POSITIVAS E NEGATIVAS</t>
  </si>
  <si>
    <t xml:space="preserve">Você costuma trabalhar em casa? Faz home office? </t>
  </si>
  <si>
    <t>Você costuma fazer home office? Como seria essa ambiente ideal pra te ajudar a ser produtivo em casa?</t>
  </si>
  <si>
    <t>PROBLEMAS</t>
  </si>
  <si>
    <t>MEDOS</t>
  </si>
  <si>
    <t>NECESSIDADES</t>
  </si>
  <si>
    <t>TENDÊNCIAS NEGATIVAS</t>
  </si>
  <si>
    <t>OPORTUNIDADES</t>
  </si>
  <si>
    <t>DESEJOS</t>
  </si>
  <si>
    <t>NOME:</t>
  </si>
  <si>
    <t>Pensando em fatores externos, que não dependem de você, o que pode te ajudar na direção da compra do seu imóvel?</t>
  </si>
  <si>
    <t>Pensando em fatores externos, que não dependem de você, o que pode te atrapalhar a conquistar o imóvel dos seus sonhos?</t>
  </si>
  <si>
    <t>Você depende de financiamento bancário? A taxa de juros é um fator determinante pra você?</t>
  </si>
  <si>
    <t>TENDÊNCIAS POSITIVAS</t>
  </si>
  <si>
    <t>LISTA DE DESEJOS DO CLIENTE</t>
  </si>
  <si>
    <t>PESO</t>
  </si>
  <si>
    <t xml:space="preserve">Preencha a tabela abaixo com os principais inights extraídos da conversa com os seus clientes para que você tenha clareza do que é valor para o seu cliente. </t>
  </si>
  <si>
    <t>Agora, elabore a LISTA DE DESEJOS DO SEU CLIENTE, descrevendo todos os itens que o cliente julga importante no imóvel e na sequencia, coloque o PESO de cada um desses itens. Isso vai te ajudar a pesquisar o imóvel certo, de acordo com as prioridades do cliente. Obedeça a seguinte escala:
1 - MUITO IMPORTANTE
2 - IMPORTANTE
3 - POUCO IMPORTANTE
4 - IRRELEVANTE</t>
  </si>
  <si>
    <t>Escala</t>
  </si>
  <si>
    <t>Muito importante</t>
  </si>
  <si>
    <t>Importante</t>
  </si>
  <si>
    <t>Pouco Importante</t>
  </si>
  <si>
    <t>Irrelevante</t>
  </si>
  <si>
    <t>BRAINSTORMING</t>
  </si>
  <si>
    <t>COMO SURPREENDER O SEU CLIENTE?</t>
  </si>
  <si>
    <t>ARGUMENTO</t>
  </si>
  <si>
    <t>CONTORNO DE OBJEÇÕES</t>
  </si>
  <si>
    <t>OBJEÇÃO</t>
  </si>
  <si>
    <t>CARTA PROPOSTA</t>
  </si>
  <si>
    <t>CORRETOR(A):</t>
  </si>
  <si>
    <t>CRECI:</t>
  </si>
  <si>
    <t>GERENTE/ CRECI:</t>
  </si>
  <si>
    <t>DATA:</t>
  </si>
  <si>
    <t>LOCAL:</t>
  </si>
  <si>
    <t>DADOS DO PROPONENTE</t>
  </si>
  <si>
    <t>CPF:</t>
  </si>
  <si>
    <t xml:space="preserve">NATURALIDADE: </t>
  </si>
  <si>
    <t xml:space="preserve">DATA DE NASCIMENTO: </t>
  </si>
  <si>
    <t xml:space="preserve">ENDEREÇO: </t>
  </si>
  <si>
    <t>CEP:</t>
  </si>
  <si>
    <t xml:space="preserve">CIDADE/ ESTADO: </t>
  </si>
  <si>
    <t xml:space="preserve">TELEFONE: </t>
  </si>
  <si>
    <t xml:space="preserve">TELEFONE COMERCIAL: </t>
  </si>
  <si>
    <t>E-MAIL:</t>
  </si>
  <si>
    <t>PROFISSÃO:</t>
  </si>
  <si>
    <t xml:space="preserve">EMPRESA: </t>
  </si>
  <si>
    <t xml:space="preserve">FILIAÇÃO: </t>
  </si>
  <si>
    <t xml:space="preserve">ESTADO CIVIL: </t>
  </si>
  <si>
    <t>RENDA MENSAL:</t>
  </si>
  <si>
    <t>(         ) CÔNJUGE</t>
  </si>
  <si>
    <t>(         ) SEGUNDO PROPONENTE</t>
  </si>
  <si>
    <t>(         ) PROCURADOR</t>
  </si>
  <si>
    <t>SOBRE O IMÓVEL</t>
  </si>
  <si>
    <t xml:space="preserve">EMPREENDIMENTO: </t>
  </si>
  <si>
    <t>VAGAS NA GARAGEM:</t>
  </si>
  <si>
    <t>UNIDADE:</t>
  </si>
  <si>
    <t xml:space="preserve">ESCANINHO: </t>
  </si>
  <si>
    <t>CONSTRUTORA:</t>
  </si>
  <si>
    <t xml:space="preserve">PROPOSTA DE PAGAMENTO </t>
  </si>
  <si>
    <t>FLUXO DE PAGAMENTO</t>
  </si>
  <si>
    <t>QT. DE PARCELAS</t>
  </si>
  <si>
    <t>PERIODICIDADE</t>
  </si>
  <si>
    <t>VENCIMENTO</t>
  </si>
  <si>
    <t>VALOR UNIT.</t>
  </si>
  <si>
    <t>VALOR TOTAL</t>
  </si>
  <si>
    <t>ATUALIZAÇÃO MONETÁRIA</t>
  </si>
  <si>
    <t>FORMA DE PAGAMENTO</t>
  </si>
  <si>
    <t>TOTAL DO FLUXO NESTA DATA</t>
  </si>
  <si>
    <t>PERCENTUAL PAGO ATÉ AS CHAVES</t>
  </si>
  <si>
    <t>FINANCIAMENTO</t>
  </si>
  <si>
    <t>TOTAL DO FINANCIAMENTO NESTA DATA</t>
  </si>
  <si>
    <t>VALOR DA PROPOSTA/ PREÇO DO IMÓVEL</t>
  </si>
  <si>
    <t>OBSERVAÇÕES:</t>
  </si>
  <si>
    <t>VALOR DA INTERMEDIAÇÃO</t>
  </si>
  <si>
    <t>VALOR TOTAL DO NEGÓCIO</t>
  </si>
  <si>
    <t>ASSINATURA DO(S) ADQUIRENTE:</t>
  </si>
  <si>
    <t>ASSINATURA DO(S) VENDEDOR(ES):</t>
  </si>
  <si>
    <t>CONSIDERAÇÕES GERAIS</t>
  </si>
  <si>
    <t>Declaro ciência sobre as as condições relacionadas à referida proposta e afirmo a contratação dos serviços profissionais abaixo descritos para que, todos os atos necessários para mediação e firmamento deste acordo sejam providenciados, observando os seguintes termos:</t>
  </si>
  <si>
    <t>1- A partir da data desta proposta, até o mês da soltura do “HABITE-SE” pela municipalidade, os valores aqui relacionados serão reajustados pelo INCC (Índice Nacional da Construção Civil). 
A partir do 1º (primeiro) dia do mês subsequente à liberação do “HABITE-SE”, até a quitação final, os valores serão reajustados mensalmente pelo IGP-M (Índice Geral de Preços de Mercado), acrescida de juros de 1% (um por cento) ao mês.</t>
  </si>
  <si>
    <t>2- Esta proposta será examinada pelo VENDEDOR que se reserva o direito de recusá-la, sem necessidade de justificativa, ficando o bem totalmente liberado para comercialização. Após aceite do VENDEDOR, esta carta proposta se dará por aprovada, de forma categórica.</t>
  </si>
  <si>
    <t>3- A concessão do financiamento bancário estará sujeita a análise de crédito e critérios estabelecidos pelos órgãos competentes . Cabe ao proponente a responsabilidade exclusiva pela aquisição dos recursos para pagamento das parcelas do financiamento, descritas nesta proposta, por meio de crédito bancário ou recursos próprios.</t>
  </si>
  <si>
    <t xml:space="preserve">4- Esta carta proposta poderá seguir acompanhada do(s) cheque(s) de sinal de negócio. Os valores referidos aos honorários da intermediação imobiliária/ comissão imobiliária - deverão ser realizados no ato da assinatura do contrato, por meio do sinal de negócio definido nesta carta proposta, com cheque cruzado e nominal ao VENDEDOR. </t>
  </si>
  <si>
    <t>5- Uma vez que o compromisso de compra e venda seja firmado, o proponente reconhece os serviços prestados pelo intermediador imobiliário, excluindo a possibilidade de impugnação ou requerimento de devolução.</t>
  </si>
  <si>
    <t xml:space="preserve">6- Para arbitrar sobre as questões eventualmente oriundas da presente proposta, elegemos o Fórum de ____ colocar o nome e endereço do local adequado da sua cidade.									</t>
  </si>
  <si>
    <t>PLANO DE AÇÃO</t>
  </si>
  <si>
    <t>AÇÃO (O QUE?)</t>
  </si>
  <si>
    <t>QUANDO</t>
  </si>
  <si>
    <t>ONDE</t>
  </si>
  <si>
    <t xml:space="preserve">QUEM </t>
  </si>
  <si>
    <t>RAZÃO (PORQUE)</t>
  </si>
  <si>
    <t xml:space="preserve">COMO </t>
  </si>
  <si>
    <t>QUANTO</t>
  </si>
  <si>
    <t>POSIÇÃO</t>
  </si>
  <si>
    <t>VENDER O MEU PRIMEIRO IMÓVEL</t>
  </si>
  <si>
    <t>a ser feito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</si>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</sst>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_ ;\-#,##0\ "/>
    <numFmt numFmtId="165" formatCode="#,##0.00_ ;\-#,##0.00\ "/>
    <numFmt numFmtId="166" formatCode="&quot;R$&quot;\ #,##0"/>
  </numFmts>
  <fonts count="2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7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57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12" xfId="0" applyFill="1" applyBorder="1"/>
    <xf numFmtId="0" fontId="1" fillId="2" borderId="1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3" borderId="20" xfId="0" applyFill="1" applyBorder="1"/>
    <xf numFmtId="0" fontId="0" fillId="3" borderId="21" xfId="0" applyFill="1" applyBorder="1"/>
    <xf numFmtId="0" fontId="5" fillId="3" borderId="0" xfId="0" applyFont="1" applyFill="1"/>
    <xf numFmtId="0" fontId="5" fillId="3" borderId="24" xfId="0" applyFont="1" applyFill="1" applyBorder="1"/>
    <xf numFmtId="0" fontId="5" fillId="3" borderId="25" xfId="0" applyFont="1" applyFill="1" applyBorder="1"/>
    <xf numFmtId="43" fontId="5" fillId="3" borderId="26" xfId="1" applyFont="1" applyFill="1" applyBorder="1" applyProtection="1"/>
    <xf numFmtId="0" fontId="5" fillId="3" borderId="30" xfId="0" applyFont="1" applyFill="1" applyBorder="1"/>
    <xf numFmtId="0" fontId="5" fillId="3" borderId="34" xfId="0" applyFont="1" applyFill="1" applyBorder="1"/>
    <xf numFmtId="165" fontId="5" fillId="3" borderId="25" xfId="1" applyNumberFormat="1" applyFont="1" applyFill="1" applyBorder="1" applyAlignment="1" applyProtection="1">
      <alignment horizontal="center"/>
    </xf>
    <xf numFmtId="165" fontId="5" fillId="3" borderId="26" xfId="1" applyNumberFormat="1" applyFont="1" applyFill="1" applyBorder="1" applyAlignment="1" applyProtection="1">
      <alignment horizontal="center"/>
    </xf>
    <xf numFmtId="164" fontId="8" fillId="3" borderId="0" xfId="1" applyNumberFormat="1" applyFont="1" applyFill="1" applyBorder="1" applyAlignment="1" applyProtection="1">
      <alignment horizontal="center" vertical="center"/>
    </xf>
    <xf numFmtId="164" fontId="8" fillId="3" borderId="24" xfId="1" applyNumberFormat="1" applyFont="1" applyFill="1" applyBorder="1" applyAlignment="1" applyProtection="1">
      <alignment horizontal="center" vertical="center"/>
    </xf>
    <xf numFmtId="0" fontId="5" fillId="3" borderId="26" xfId="0" applyFont="1" applyFill="1" applyBorder="1"/>
    <xf numFmtId="0" fontId="5" fillId="3" borderId="35" xfId="0" applyFont="1" applyFill="1" applyBorder="1"/>
    <xf numFmtId="0" fontId="5" fillId="3" borderId="0" xfId="0" applyFont="1" applyFill="1" applyBorder="1"/>
    <xf numFmtId="43" fontId="6" fillId="4" borderId="24" xfId="1" applyFont="1" applyFill="1" applyBorder="1" applyProtection="1"/>
    <xf numFmtId="1" fontId="6" fillId="3" borderId="24" xfId="0" applyNumberFormat="1" applyFont="1" applyFill="1" applyBorder="1"/>
    <xf numFmtId="164" fontId="8" fillId="3" borderId="35" xfId="1" applyNumberFormat="1" applyFont="1" applyFill="1" applyBorder="1" applyAlignment="1" applyProtection="1">
      <alignment horizontal="center" vertical="center"/>
    </xf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24" xfId="0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3" borderId="4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3" borderId="40" xfId="0" applyFill="1" applyBorder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52" xfId="0" applyFill="1" applyBorder="1" applyAlignment="1">
      <alignment horizontal="left" vertical="center"/>
    </xf>
    <xf numFmtId="0" fontId="0" fillId="3" borderId="44" xfId="0" applyFill="1" applyBorder="1" applyAlignment="1">
      <alignment horizontal="center" vertical="center"/>
    </xf>
    <xf numFmtId="0" fontId="0" fillId="3" borderId="31" xfId="0" applyFill="1" applyBorder="1" applyAlignment="1">
      <alignment horizontal="left"/>
    </xf>
    <xf numFmtId="0" fontId="0" fillId="3" borderId="40" xfId="0" applyFill="1" applyBorder="1" applyAlignment="1">
      <alignment horizontal="center"/>
    </xf>
    <xf numFmtId="0" fontId="0" fillId="3" borderId="40" xfId="0" applyFill="1" applyBorder="1"/>
    <xf numFmtId="0" fontId="0" fillId="3" borderId="0" xfId="0" applyFill="1" applyAlignment="1">
      <alignment vertical="center"/>
    </xf>
    <xf numFmtId="0" fontId="1" fillId="2" borderId="56" xfId="0" applyFont="1" applyFill="1" applyBorder="1" applyAlignment="1">
      <alignment horizontal="center"/>
    </xf>
    <xf numFmtId="0" fontId="0" fillId="3" borderId="22" xfId="0" applyFill="1" applyBorder="1" applyAlignment="1"/>
    <xf numFmtId="0" fontId="0" fillId="3" borderId="4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21" xfId="0" applyFill="1" applyBorder="1" applyAlignment="1"/>
    <xf numFmtId="0" fontId="0" fillId="3" borderId="23" xfId="0" applyFill="1" applyBorder="1" applyAlignment="1"/>
    <xf numFmtId="0" fontId="0" fillId="3" borderId="35" xfId="0" applyFill="1" applyBorder="1" applyAlignment="1"/>
    <xf numFmtId="0" fontId="0" fillId="3" borderId="0" xfId="0" applyFill="1" applyBorder="1" applyAlignment="1"/>
    <xf numFmtId="0" fontId="0" fillId="3" borderId="24" xfId="0" applyFill="1" applyBorder="1" applyAlignment="1"/>
    <xf numFmtId="0" fontId="0" fillId="3" borderId="34" xfId="0" applyFill="1" applyBorder="1" applyAlignment="1"/>
    <xf numFmtId="0" fontId="0" fillId="3" borderId="25" xfId="0" applyFill="1" applyBorder="1" applyAlignment="1"/>
    <xf numFmtId="0" fontId="0" fillId="3" borderId="26" xfId="0" applyFill="1" applyBorder="1" applyAlignment="1"/>
    <xf numFmtId="0" fontId="3" fillId="3" borderId="35" xfId="0" applyFont="1" applyFill="1" applyBorder="1" applyAlignment="1"/>
    <xf numFmtId="0" fontId="0" fillId="3" borderId="35" xfId="0" applyFill="1" applyBorder="1"/>
    <xf numFmtId="0" fontId="14" fillId="3" borderId="35" xfId="0" applyFont="1" applyFill="1" applyBorder="1" applyAlignment="1"/>
    <xf numFmtId="0" fontId="0" fillId="3" borderId="57" xfId="0" applyFill="1" applyBorder="1" applyAlignment="1">
      <alignment horizontal="left" vertical="center" wrapText="1"/>
    </xf>
    <xf numFmtId="0" fontId="0" fillId="3" borderId="57" xfId="0" applyFill="1" applyBorder="1"/>
    <xf numFmtId="0" fontId="0" fillId="3" borderId="31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0" fillId="3" borderId="60" xfId="0" applyFill="1" applyBorder="1" applyAlignment="1">
      <alignment horizontal="center"/>
    </xf>
    <xf numFmtId="0" fontId="0" fillId="3" borderId="61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34" xfId="0" applyFill="1" applyBorder="1"/>
    <xf numFmtId="0" fontId="0" fillId="3" borderId="25" xfId="0" applyFill="1" applyBorder="1"/>
    <xf numFmtId="0" fontId="0" fillId="3" borderId="26" xfId="0" applyFill="1" applyBorder="1"/>
    <xf numFmtId="0" fontId="5" fillId="3" borderId="0" xfId="0" applyFont="1" applyFill="1" applyAlignment="1">
      <alignment vertical="center"/>
    </xf>
    <xf numFmtId="0" fontId="5" fillId="3" borderId="63" xfId="0" applyFont="1" applyFill="1" applyBorder="1" applyAlignment="1">
      <alignment vertical="center"/>
    </xf>
    <xf numFmtId="0" fontId="16" fillId="3" borderId="64" xfId="0" applyFont="1" applyFill="1" applyBorder="1" applyAlignment="1">
      <alignment vertical="center"/>
    </xf>
    <xf numFmtId="0" fontId="5" fillId="3" borderId="64" xfId="0" applyFont="1" applyFill="1" applyBorder="1" applyAlignment="1">
      <alignment vertical="center"/>
    </xf>
    <xf numFmtId="0" fontId="16" fillId="19" borderId="65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6" fillId="3" borderId="43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16" fillId="3" borderId="58" xfId="0" applyFont="1" applyFill="1" applyBorder="1" applyAlignment="1">
      <alignment vertical="center"/>
    </xf>
    <xf numFmtId="0" fontId="17" fillId="19" borderId="65" xfId="0" applyFont="1" applyFill="1" applyBorder="1" applyAlignment="1">
      <alignment vertical="center"/>
    </xf>
    <xf numFmtId="0" fontId="16" fillId="3" borderId="46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 applyProtection="1">
      <alignment vertical="center"/>
      <protection locked="0"/>
    </xf>
    <xf numFmtId="166" fontId="16" fillId="3" borderId="1" xfId="0" applyNumberFormat="1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166" fontId="18" fillId="20" borderId="1" xfId="0" applyNumberFormat="1" applyFont="1" applyFill="1" applyBorder="1" applyAlignment="1">
      <alignment vertical="center"/>
    </xf>
    <xf numFmtId="166" fontId="17" fillId="3" borderId="0" xfId="0" applyNumberFormat="1" applyFont="1" applyFill="1" applyAlignment="1">
      <alignment vertical="center"/>
    </xf>
    <xf numFmtId="9" fontId="17" fillId="3" borderId="1" xfId="2" applyFont="1" applyFill="1" applyBorder="1" applyAlignment="1">
      <alignment vertical="center"/>
    </xf>
    <xf numFmtId="0" fontId="20" fillId="3" borderId="0" xfId="0" applyFont="1" applyFill="1" applyAlignment="1" applyProtection="1">
      <alignment vertical="center"/>
      <protection locked="0"/>
    </xf>
    <xf numFmtId="0" fontId="16" fillId="3" borderId="31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/>
    </xf>
    <xf numFmtId="0" fontId="16" fillId="3" borderId="58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vertical="center"/>
    </xf>
    <xf numFmtId="0" fontId="3" fillId="21" borderId="5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20" xfId="0" applyFont="1" applyFill="1" applyBorder="1" applyAlignment="1">
      <alignment horizontal="left" vertical="center" wrapText="1"/>
    </xf>
    <xf numFmtId="0" fontId="0" fillId="3" borderId="18" xfId="0" applyFont="1" applyFill="1" applyBorder="1" applyAlignment="1">
      <alignment horizontal="left" vertical="center" wrapText="1"/>
    </xf>
    <xf numFmtId="0" fontId="0" fillId="3" borderId="19" xfId="0" applyFont="1" applyFill="1" applyBorder="1" applyAlignment="1">
      <alignment horizontal="left" vertical="center" wrapText="1"/>
    </xf>
    <xf numFmtId="0" fontId="11" fillId="3" borderId="30" xfId="0" applyFont="1" applyFill="1" applyBorder="1" applyAlignment="1">
      <alignment horizontal="left" vertical="center" wrapText="1"/>
    </xf>
    <xf numFmtId="0" fontId="11" fillId="3" borderId="46" xfId="0" applyFont="1" applyFill="1" applyBorder="1" applyAlignment="1">
      <alignment horizontal="left" vertical="center" wrapText="1"/>
    </xf>
    <xf numFmtId="0" fontId="11" fillId="3" borderId="47" xfId="0" applyFont="1" applyFill="1" applyBorder="1" applyAlignment="1">
      <alignment horizontal="left" vertical="center" wrapText="1"/>
    </xf>
    <xf numFmtId="0" fontId="11" fillId="3" borderId="35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1" fillId="3" borderId="48" xfId="0" applyFont="1" applyFill="1" applyBorder="1" applyAlignment="1">
      <alignment horizontal="left" vertical="center" wrapText="1"/>
    </xf>
    <xf numFmtId="0" fontId="11" fillId="3" borderId="42" xfId="0" applyFont="1" applyFill="1" applyBorder="1" applyAlignment="1">
      <alignment horizontal="left" vertical="center" wrapText="1"/>
    </xf>
    <xf numFmtId="0" fontId="11" fillId="3" borderId="43" xfId="0" applyFont="1" applyFill="1" applyBorder="1" applyAlignment="1">
      <alignment horizontal="left" vertical="center" wrapText="1"/>
    </xf>
    <xf numFmtId="0" fontId="11" fillId="3" borderId="44" xfId="0" applyFont="1" applyFill="1" applyBorder="1" applyAlignment="1">
      <alignment horizontal="left" vertical="center" wrapText="1"/>
    </xf>
    <xf numFmtId="0" fontId="1" fillId="8" borderId="31" xfId="0" applyFont="1" applyFill="1" applyBorder="1" applyAlignment="1">
      <alignment horizontal="center" vertical="center"/>
    </xf>
    <xf numFmtId="0" fontId="1" fillId="8" borderId="40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left" vertical="center"/>
    </xf>
    <xf numFmtId="0" fontId="0" fillId="3" borderId="40" xfId="0" applyFill="1" applyBorder="1" applyAlignment="1">
      <alignment horizontal="left" vertical="center"/>
    </xf>
    <xf numFmtId="0" fontId="0" fillId="3" borderId="31" xfId="0" applyFill="1" applyBorder="1" applyAlignment="1">
      <alignment horizontal="left"/>
    </xf>
    <xf numFmtId="0" fontId="0" fillId="3" borderId="40" xfId="0" applyFill="1" applyBorder="1" applyAlignment="1">
      <alignment horizontal="left"/>
    </xf>
    <xf numFmtId="0" fontId="11" fillId="3" borderId="34" xfId="0" applyFont="1" applyFill="1" applyBorder="1" applyAlignment="1">
      <alignment horizontal="left" vertical="center" wrapText="1"/>
    </xf>
    <xf numFmtId="0" fontId="11" fillId="3" borderId="25" xfId="0" applyFont="1" applyFill="1" applyBorder="1" applyAlignment="1">
      <alignment horizontal="left" vertical="center" wrapText="1"/>
    </xf>
    <xf numFmtId="0" fontId="11" fillId="3" borderId="49" xfId="0" applyFont="1" applyFill="1" applyBorder="1" applyAlignment="1">
      <alignment horizontal="left" vertical="center" wrapText="1"/>
    </xf>
    <xf numFmtId="0" fontId="1" fillId="9" borderId="31" xfId="0" applyFont="1" applyFill="1" applyBorder="1" applyAlignment="1">
      <alignment horizontal="center"/>
    </xf>
    <xf numFmtId="0" fontId="1" fillId="9" borderId="4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2" fillId="3" borderId="50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left"/>
    </xf>
    <xf numFmtId="0" fontId="0" fillId="3" borderId="55" xfId="0" applyFill="1" applyBorder="1" applyAlignment="1">
      <alignment horizontal="left"/>
    </xf>
    <xf numFmtId="0" fontId="0" fillId="3" borderId="31" xfId="0" applyFill="1" applyBorder="1" applyAlignment="1">
      <alignment vertical="center"/>
    </xf>
    <xf numFmtId="0" fontId="0" fillId="3" borderId="40" xfId="0" applyFill="1" applyBorder="1" applyAlignment="1">
      <alignment vertical="center"/>
    </xf>
    <xf numFmtId="0" fontId="0" fillId="3" borderId="31" xfId="0" applyFill="1" applyBorder="1"/>
    <xf numFmtId="0" fontId="0" fillId="3" borderId="40" xfId="0" applyFill="1" applyBorder="1"/>
    <xf numFmtId="0" fontId="0" fillId="3" borderId="1" xfId="0" applyFill="1" applyBorder="1" applyAlignment="1">
      <alignment horizontal="left"/>
    </xf>
    <xf numFmtId="0" fontId="0" fillId="3" borderId="40" xfId="0" applyFill="1" applyBorder="1" applyAlignment="1">
      <alignment horizontal="center"/>
    </xf>
    <xf numFmtId="0" fontId="0" fillId="3" borderId="54" xfId="0" applyFill="1" applyBorder="1"/>
    <xf numFmtId="0" fontId="0" fillId="3" borderId="55" xfId="0" applyFill="1" applyBorder="1"/>
    <xf numFmtId="165" fontId="5" fillId="4" borderId="1" xfId="1" applyNumberFormat="1" applyFont="1" applyFill="1" applyBorder="1" applyAlignment="1" applyProtection="1">
      <alignment horizontal="center"/>
      <protection locked="0"/>
    </xf>
    <xf numFmtId="165" fontId="5" fillId="4" borderId="8" xfId="1" applyNumberFormat="1" applyFont="1" applyFill="1" applyBorder="1" applyAlignment="1" applyProtection="1">
      <alignment horizontal="center"/>
      <protection locked="0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64" fontId="5" fillId="3" borderId="31" xfId="1" applyNumberFormat="1" applyFont="1" applyFill="1" applyBorder="1" applyAlignment="1" applyProtection="1">
      <alignment horizontal="center"/>
    </xf>
    <xf numFmtId="164" fontId="5" fillId="3" borderId="32" xfId="1" applyNumberFormat="1" applyFont="1" applyFill="1" applyBorder="1" applyAlignment="1" applyProtection="1">
      <alignment horizontal="center"/>
    </xf>
    <xf numFmtId="0" fontId="5" fillId="3" borderId="35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0" xfId="0" applyFont="1" applyFill="1" applyBorder="1" applyAlignment="1" applyProtection="1">
      <alignment horizontal="center"/>
      <protection locked="0"/>
    </xf>
    <xf numFmtId="0" fontId="5" fillId="3" borderId="24" xfId="0" applyFont="1" applyFill="1" applyBorder="1" applyAlignment="1" applyProtection="1">
      <alignment horizontal="center"/>
      <protection locked="0"/>
    </xf>
    <xf numFmtId="0" fontId="6" fillId="3" borderId="3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164" fontId="7" fillId="7" borderId="35" xfId="1" applyNumberFormat="1" applyFont="1" applyFill="1" applyBorder="1" applyAlignment="1" applyProtection="1">
      <alignment horizontal="center" vertical="center"/>
    </xf>
    <xf numFmtId="164" fontId="7" fillId="7" borderId="0" xfId="1" applyNumberFormat="1" applyFont="1" applyFill="1" applyBorder="1" applyAlignment="1" applyProtection="1">
      <alignment horizontal="center" vertical="center"/>
    </xf>
    <xf numFmtId="164" fontId="7" fillId="7" borderId="24" xfId="1" applyNumberFormat="1" applyFont="1" applyFill="1" applyBorder="1" applyAlignment="1" applyProtection="1">
      <alignment horizontal="center" vertical="center"/>
    </xf>
    <xf numFmtId="164" fontId="7" fillId="3" borderId="35" xfId="1" applyNumberFormat="1" applyFont="1" applyFill="1" applyBorder="1" applyAlignment="1" applyProtection="1">
      <alignment horizontal="center" vertical="center"/>
      <protection locked="0"/>
    </xf>
    <xf numFmtId="164" fontId="7" fillId="3" borderId="0" xfId="1" applyNumberFormat="1" applyFont="1" applyFill="1" applyBorder="1" applyAlignment="1" applyProtection="1">
      <alignment horizontal="center" vertical="center"/>
      <protection locked="0"/>
    </xf>
    <xf numFmtId="164" fontId="7" fillId="3" borderId="24" xfId="1" applyNumberFormat="1" applyFont="1" applyFill="1" applyBorder="1" applyAlignment="1" applyProtection="1">
      <alignment horizontal="center" vertical="center"/>
      <protection locked="0"/>
    </xf>
    <xf numFmtId="0" fontId="6" fillId="5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 wrapText="1"/>
    </xf>
    <xf numFmtId="0" fontId="5" fillId="3" borderId="24" xfId="0" applyFont="1" applyFill="1" applyBorder="1" applyAlignment="1">
      <alignment horizontal="left" wrapText="1"/>
    </xf>
    <xf numFmtId="10" fontId="5" fillId="3" borderId="0" xfId="0" applyNumberFormat="1" applyFont="1" applyFill="1" applyBorder="1" applyAlignment="1" applyProtection="1">
      <alignment horizontal="center"/>
      <protection locked="0"/>
    </xf>
    <xf numFmtId="10" fontId="5" fillId="3" borderId="24" xfId="0" applyNumberFormat="1" applyFont="1" applyFill="1" applyBorder="1" applyAlignment="1" applyProtection="1">
      <alignment horizontal="center"/>
      <protection locked="0"/>
    </xf>
    <xf numFmtId="0" fontId="6" fillId="3" borderId="3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left" vertical="center" wrapText="1"/>
    </xf>
    <xf numFmtId="0" fontId="9" fillId="3" borderId="22" xfId="0" applyFont="1" applyFill="1" applyBorder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9" fillId="3" borderId="35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9" fillId="3" borderId="24" xfId="0" applyFont="1" applyFill="1" applyBorder="1" applyAlignment="1">
      <alignment horizontal="left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5" xfId="0" applyFont="1" applyFill="1" applyBorder="1" applyAlignment="1">
      <alignment horizontal="left" vertical="center" wrapText="1"/>
    </xf>
    <xf numFmtId="0" fontId="9" fillId="3" borderId="26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/>
    </xf>
    <xf numFmtId="0" fontId="5" fillId="3" borderId="40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10" fontId="5" fillId="4" borderId="0" xfId="0" applyNumberFormat="1" applyFont="1" applyFill="1" applyBorder="1" applyAlignment="1" applyProtection="1">
      <alignment horizontal="center"/>
      <protection locked="0"/>
    </xf>
    <xf numFmtId="10" fontId="5" fillId="4" borderId="24" xfId="0" applyNumberFormat="1" applyFont="1" applyFill="1" applyBorder="1" applyAlignment="1" applyProtection="1">
      <alignment horizontal="center"/>
      <protection locked="0"/>
    </xf>
    <xf numFmtId="165" fontId="5" fillId="3" borderId="0" xfId="1" applyNumberFormat="1" applyFont="1" applyFill="1" applyBorder="1" applyAlignment="1" applyProtection="1">
      <alignment horizontal="center"/>
    </xf>
    <xf numFmtId="165" fontId="5" fillId="3" borderId="24" xfId="1" applyNumberFormat="1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 applyProtection="1">
      <alignment horizontal="center"/>
      <protection locked="0"/>
    </xf>
    <xf numFmtId="0" fontId="0" fillId="3" borderId="21" xfId="0" applyFont="1" applyFill="1" applyBorder="1" applyAlignment="1">
      <alignment horizontal="left" vertical="center" wrapText="1"/>
    </xf>
    <xf numFmtId="0" fontId="0" fillId="3" borderId="22" xfId="0" applyFont="1" applyFill="1" applyBorder="1" applyAlignment="1">
      <alignment horizontal="left" vertical="center" wrapText="1"/>
    </xf>
    <xf numFmtId="0" fontId="0" fillId="3" borderId="2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/>
    </xf>
    <xf numFmtId="0" fontId="3" fillId="10" borderId="19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13" fillId="3" borderId="35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/>
    </xf>
    <xf numFmtId="0" fontId="3" fillId="11" borderId="31" xfId="0" applyFont="1" applyFill="1" applyBorder="1" applyAlignment="1">
      <alignment horizontal="center"/>
    </xf>
    <xf numFmtId="0" fontId="3" fillId="11" borderId="40" xfId="0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0" fontId="1" fillId="12" borderId="23" xfId="0" applyFont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0" fillId="3" borderId="60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21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3" borderId="3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9" fillId="3" borderId="18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left" vertical="center" wrapText="1"/>
    </xf>
    <xf numFmtId="0" fontId="3" fillId="18" borderId="27" xfId="0" applyFont="1" applyFill="1" applyBorder="1" applyAlignment="1">
      <alignment horizontal="center"/>
    </xf>
    <xf numFmtId="0" fontId="3" fillId="18" borderId="28" xfId="0" applyFont="1" applyFill="1" applyBorder="1" applyAlignment="1">
      <alignment horizontal="center"/>
    </xf>
    <xf numFmtId="0" fontId="3" fillId="18" borderId="29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14" borderId="21" xfId="0" applyFont="1" applyFill="1" applyBorder="1" applyAlignment="1">
      <alignment horizontal="center"/>
    </xf>
    <xf numFmtId="0" fontId="3" fillId="14" borderId="22" xfId="0" applyFont="1" applyFill="1" applyBorder="1" applyAlignment="1">
      <alignment horizontal="center"/>
    </xf>
    <xf numFmtId="0" fontId="3" fillId="16" borderId="22" xfId="0" applyFont="1" applyFill="1" applyBorder="1" applyAlignment="1">
      <alignment horizontal="center"/>
    </xf>
    <xf numFmtId="0" fontId="3" fillId="16" borderId="23" xfId="0" applyFont="1" applyFill="1" applyBorder="1" applyAlignment="1">
      <alignment horizontal="center"/>
    </xf>
    <xf numFmtId="0" fontId="3" fillId="15" borderId="21" xfId="0" applyFont="1" applyFill="1" applyBorder="1" applyAlignment="1">
      <alignment horizontal="center"/>
    </xf>
    <xf numFmtId="0" fontId="3" fillId="15" borderId="22" xfId="0" applyFont="1" applyFill="1" applyBorder="1" applyAlignment="1">
      <alignment horizontal="center"/>
    </xf>
    <xf numFmtId="0" fontId="3" fillId="17" borderId="22" xfId="0" applyFont="1" applyFill="1" applyBorder="1" applyAlignment="1">
      <alignment horizontal="center"/>
    </xf>
    <xf numFmtId="0" fontId="3" fillId="17" borderId="2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0" fillId="3" borderId="19" xfId="0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3" fillId="18" borderId="50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3" fillId="18" borderId="6" xfId="0" applyFont="1" applyFill="1" applyBorder="1" applyAlignment="1">
      <alignment horizontal="center"/>
    </xf>
    <xf numFmtId="0" fontId="3" fillId="7" borderId="6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1" fillId="3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horizontal="left" vertical="center" wrapText="1"/>
    </xf>
    <xf numFmtId="0" fontId="18" fillId="19" borderId="65" xfId="0" applyFont="1" applyFill="1" applyBorder="1" applyAlignment="1">
      <alignment horizontal="center" vertical="center"/>
    </xf>
    <xf numFmtId="0" fontId="16" fillId="19" borderId="65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left" vertical="center"/>
    </xf>
    <xf numFmtId="166" fontId="18" fillId="13" borderId="1" xfId="2" applyNumberFormat="1" applyFont="1" applyFill="1" applyBorder="1" applyAlignment="1">
      <alignment horizontal="center" vertical="center"/>
    </xf>
    <xf numFmtId="9" fontId="18" fillId="13" borderId="31" xfId="2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top"/>
    </xf>
    <xf numFmtId="3" fontId="18" fillId="13" borderId="1" xfId="2" applyNumberFormat="1" applyFont="1" applyFill="1" applyBorder="1" applyAlignment="1">
      <alignment horizontal="center" vertical="center"/>
    </xf>
    <xf numFmtId="3" fontId="18" fillId="13" borderId="31" xfId="2" applyNumberFormat="1" applyFont="1" applyFill="1" applyBorder="1" applyAlignment="1">
      <alignment horizontal="center" vertical="center"/>
    </xf>
    <xf numFmtId="166" fontId="18" fillId="13" borderId="1" xfId="0" applyNumberFormat="1" applyFont="1" applyFill="1" applyBorder="1" applyAlignment="1">
      <alignment horizontal="center" vertical="center"/>
    </xf>
    <xf numFmtId="0" fontId="18" fillId="13" borderId="31" xfId="0" applyFont="1" applyFill="1" applyBorder="1" applyAlignment="1">
      <alignment horizontal="center" vertical="center"/>
    </xf>
    <xf numFmtId="0" fontId="18" fillId="20" borderId="31" xfId="0" applyFont="1" applyFill="1" applyBorder="1" applyAlignment="1">
      <alignment horizontal="left" vertical="center"/>
    </xf>
    <xf numFmtId="0" fontId="18" fillId="20" borderId="58" xfId="0" applyFont="1" applyFill="1" applyBorder="1" applyAlignment="1">
      <alignment horizontal="left" vertical="center"/>
    </xf>
    <xf numFmtId="0" fontId="18" fillId="20" borderId="40" xfId="0" applyFont="1" applyFill="1" applyBorder="1" applyAlignment="1">
      <alignment horizontal="left"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/>
    </xf>
    <xf numFmtId="0" fontId="16" fillId="3" borderId="58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6" fillId="19" borderId="31" xfId="0" applyFont="1" applyFill="1" applyBorder="1" applyAlignment="1">
      <alignment horizontal="center" vertical="center"/>
    </xf>
    <xf numFmtId="0" fontId="6" fillId="19" borderId="58" xfId="0" applyFont="1" applyFill="1" applyBorder="1" applyAlignment="1">
      <alignment horizontal="center" vertical="center"/>
    </xf>
    <xf numFmtId="0" fontId="6" fillId="19" borderId="40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0" fontId="10" fillId="10" borderId="34" xfId="0" applyFont="1" applyFill="1" applyBorder="1" applyAlignment="1">
      <alignment horizontal="center" vertical="center"/>
    </xf>
    <xf numFmtId="0" fontId="10" fillId="10" borderId="25" xfId="0" applyFont="1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4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254001</xdr:rowOff>
    </xdr:from>
    <xdr:to>
      <xdr:col>1</xdr:col>
      <xdr:colOff>2310269</xdr:colOff>
      <xdr:row>1</xdr:row>
      <xdr:rowOff>1485900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C9D64FF-9468-13B4-3F92-0984F3ED3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279400" y="469901"/>
          <a:ext cx="2272169" cy="1231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279400</xdr:rowOff>
    </xdr:from>
    <xdr:to>
      <xdr:col>2</xdr:col>
      <xdr:colOff>1386557</xdr:colOff>
      <xdr:row>0</xdr:row>
      <xdr:rowOff>1816100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4D22221-0A17-3641-B1BD-BC19BD1E61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203200" y="279400"/>
          <a:ext cx="2834357" cy="1536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135466</xdr:colOff>
      <xdr:row>0</xdr:row>
      <xdr:rowOff>59267</xdr:rowOff>
    </xdr:from>
    <xdr:to>
      <xdr:col>1</xdr:col>
      <xdr:colOff>1775177</xdr:colOff>
      <xdr:row>4</xdr:row>
      <xdr:rowOff>135467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C36844-EC34-8F44-B777-099F097559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465666" y="59267"/>
          <a:ext cx="1639711" cy="88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254000</xdr:colOff>
      <xdr:row>1</xdr:row>
      <xdr:rowOff>330200</xdr:rowOff>
    </xdr:from>
    <xdr:to>
      <xdr:col>1</xdr:col>
      <xdr:colOff>2526169</xdr:colOff>
      <xdr:row>1</xdr:row>
      <xdr:rowOff>1562099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ECCD0C7-AB3C-7047-BE55-B53039D64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495300" y="546100"/>
          <a:ext cx="2272169" cy="12318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1</xdr:row>
      <xdr:rowOff>88900</xdr:rowOff>
    </xdr:from>
    <xdr:to>
      <xdr:col>3</xdr:col>
      <xdr:colOff>710069</xdr:colOff>
      <xdr:row>1</xdr:row>
      <xdr:rowOff>1320799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9F20D4-3DEB-7349-9EDD-C23F66D226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406400" y="292100"/>
          <a:ext cx="2272169" cy="12318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596901</xdr:rowOff>
    </xdr:from>
    <xdr:to>
      <xdr:col>1</xdr:col>
      <xdr:colOff>2191173</xdr:colOff>
      <xdr:row>0</xdr:row>
      <xdr:rowOff>1778001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818A7D-6E82-C445-A7F9-30B27F0BF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393700" y="596901"/>
          <a:ext cx="2178473" cy="11811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59266</xdr:colOff>
      <xdr:row>1</xdr:row>
      <xdr:rowOff>338667</xdr:rowOff>
    </xdr:from>
    <xdr:to>
      <xdr:col>2</xdr:col>
      <xdr:colOff>775546</xdr:colOff>
      <xdr:row>1</xdr:row>
      <xdr:rowOff>1176867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045FD13-A213-E245-98E4-316C18EF40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338666" y="558800"/>
          <a:ext cx="1546013" cy="838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143934</xdr:rowOff>
    </xdr:from>
    <xdr:to>
      <xdr:col>2</xdr:col>
      <xdr:colOff>741680</xdr:colOff>
      <xdr:row>1</xdr:row>
      <xdr:rowOff>982134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0A81CC-0E99-1440-BC60-9F073E155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279400" y="364067"/>
          <a:ext cx="1546013" cy="838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127001</xdr:rowOff>
    </xdr:from>
    <xdr:to>
      <xdr:col>2</xdr:col>
      <xdr:colOff>767080</xdr:colOff>
      <xdr:row>1</xdr:row>
      <xdr:rowOff>965201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743F5E-C115-DA4B-A3F2-2E840402FA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304800" y="347134"/>
          <a:ext cx="1546013" cy="838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5</xdr:col>
      <xdr:colOff>59202</xdr:colOff>
      <xdr:row>73</xdr:row>
      <xdr:rowOff>65194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CDE988-DC5B-CB44-8935-63738CCFF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45" t="24483" r="13445" b="23490"/>
        <a:stretch/>
      </xdr:blipFill>
      <xdr:spPr>
        <a:xfrm>
          <a:off x="177800" y="10185400"/>
          <a:ext cx="1888002" cy="776394"/>
        </a:xfrm>
        <a:prstGeom prst="rect">
          <a:avLst/>
        </a:prstGeom>
      </xdr:spPr>
    </xdr:pic>
    <xdr:clientData/>
  </xdr:twoCellAnchor>
  <xdr:twoCellAnchor editAs="oneCell">
    <xdr:from>
      <xdr:col>5</xdr:col>
      <xdr:colOff>507999</xdr:colOff>
      <xdr:row>0</xdr:row>
      <xdr:rowOff>101600</xdr:rowOff>
    </xdr:from>
    <xdr:to>
      <xdr:col>7</xdr:col>
      <xdr:colOff>318346</xdr:colOff>
      <xdr:row>0</xdr:row>
      <xdr:rowOff>939800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9AC785-B71D-8B4C-981B-54B59B87C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2523066" y="101600"/>
          <a:ext cx="1546013" cy="838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0</xdr:row>
      <xdr:rowOff>228600</xdr:rowOff>
    </xdr:from>
    <xdr:to>
      <xdr:col>1</xdr:col>
      <xdr:colOff>1761913</xdr:colOff>
      <xdr:row>0</xdr:row>
      <xdr:rowOff>1066800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DDFC22B-447F-AB49-8484-8FF6B3BDD8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21496" r="21405" b="26216"/>
        <a:stretch/>
      </xdr:blipFill>
      <xdr:spPr>
        <a:xfrm>
          <a:off x="596900" y="228600"/>
          <a:ext cx="1546013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3F38-8AD3-1047-9584-C2F38B6C6E63}">
  <sheetPr>
    <tabColor theme="4"/>
  </sheetPr>
  <dimension ref="B1:G33"/>
  <sheetViews>
    <sheetView tabSelected="1" workbookViewId="0">
      <selection activeCell="J15" sqref="J15"/>
    </sheetView>
  </sheetViews>
  <sheetFormatPr baseColWidth="10" defaultRowHeight="16" x14ac:dyDescent="0.2"/>
  <cols>
    <col min="1" max="1" width="3.1640625" style="1" customWidth="1"/>
    <col min="2" max="2" width="32.5" style="1" customWidth="1"/>
    <col min="3" max="3" width="11" style="1" customWidth="1"/>
    <col min="4" max="4" width="28.33203125" style="1" customWidth="1"/>
    <col min="5" max="6" width="42.6640625" style="1" customWidth="1"/>
    <col min="7" max="7" width="52" style="1" customWidth="1"/>
    <col min="8" max="16384" width="10.83203125" style="1"/>
  </cols>
  <sheetData>
    <row r="1" spans="2:7" ht="17" thickBot="1" x14ac:dyDescent="0.25"/>
    <row r="2" spans="2:7" ht="152" customHeight="1" thickBot="1" x14ac:dyDescent="0.25">
      <c r="B2" s="11"/>
      <c r="C2" s="124" t="s">
        <v>8</v>
      </c>
      <c r="D2" s="125"/>
      <c r="E2" s="125"/>
      <c r="F2" s="125"/>
      <c r="G2" s="126"/>
    </row>
    <row r="3" spans="2:7" ht="17" thickBot="1" x14ac:dyDescent="0.25">
      <c r="B3" s="8" t="s">
        <v>0</v>
      </c>
      <c r="C3" s="122" t="s">
        <v>1</v>
      </c>
      <c r="D3" s="123"/>
      <c r="E3" s="9" t="s">
        <v>2</v>
      </c>
      <c r="F3" s="9" t="s">
        <v>3</v>
      </c>
      <c r="G3" s="10" t="s">
        <v>7</v>
      </c>
    </row>
    <row r="4" spans="2:7" x14ac:dyDescent="0.2">
      <c r="B4" s="116"/>
      <c r="C4" s="3" t="s">
        <v>4</v>
      </c>
      <c r="D4" s="3"/>
      <c r="E4" s="119"/>
      <c r="F4" s="119"/>
      <c r="G4" s="4"/>
    </row>
    <row r="5" spans="2:7" x14ac:dyDescent="0.2">
      <c r="B5" s="117"/>
      <c r="C5" s="2" t="s">
        <v>5</v>
      </c>
      <c r="D5" s="2"/>
      <c r="E5" s="120"/>
      <c r="F5" s="120"/>
      <c r="G5" s="5"/>
    </row>
    <row r="6" spans="2:7" ht="17" thickBot="1" x14ac:dyDescent="0.25">
      <c r="B6" s="118"/>
      <c r="C6" s="6" t="s">
        <v>6</v>
      </c>
      <c r="D6" s="6"/>
      <c r="E6" s="121"/>
      <c r="F6" s="121"/>
      <c r="G6" s="7"/>
    </row>
    <row r="7" spans="2:7" x14ac:dyDescent="0.2">
      <c r="B7" s="116"/>
      <c r="C7" s="3" t="s">
        <v>4</v>
      </c>
      <c r="D7" s="3"/>
      <c r="E7" s="119"/>
      <c r="F7" s="119"/>
      <c r="G7" s="4"/>
    </row>
    <row r="8" spans="2:7" x14ac:dyDescent="0.2">
      <c r="B8" s="117"/>
      <c r="C8" s="2" t="s">
        <v>5</v>
      </c>
      <c r="D8" s="2"/>
      <c r="E8" s="120"/>
      <c r="F8" s="120"/>
      <c r="G8" s="5"/>
    </row>
    <row r="9" spans="2:7" ht="17" thickBot="1" x14ac:dyDescent="0.25">
      <c r="B9" s="118"/>
      <c r="C9" s="6" t="s">
        <v>6</v>
      </c>
      <c r="D9" s="6"/>
      <c r="E9" s="121"/>
      <c r="F9" s="121"/>
      <c r="G9" s="7"/>
    </row>
    <row r="10" spans="2:7" x14ac:dyDescent="0.2">
      <c r="B10" s="116"/>
      <c r="C10" s="3" t="s">
        <v>4</v>
      </c>
      <c r="D10" s="3"/>
      <c r="E10" s="119"/>
      <c r="F10" s="119"/>
      <c r="G10" s="4"/>
    </row>
    <row r="11" spans="2:7" x14ac:dyDescent="0.2">
      <c r="B11" s="117"/>
      <c r="C11" s="2" t="s">
        <v>5</v>
      </c>
      <c r="D11" s="2"/>
      <c r="E11" s="120"/>
      <c r="F11" s="120"/>
      <c r="G11" s="5"/>
    </row>
    <row r="12" spans="2:7" ht="17" thickBot="1" x14ac:dyDescent="0.25">
      <c r="B12" s="118"/>
      <c r="C12" s="6" t="s">
        <v>6</v>
      </c>
      <c r="D12" s="6"/>
      <c r="E12" s="121"/>
      <c r="F12" s="121"/>
      <c r="G12" s="7"/>
    </row>
    <row r="13" spans="2:7" x14ac:dyDescent="0.2">
      <c r="B13" s="116"/>
      <c r="C13" s="3" t="s">
        <v>4</v>
      </c>
      <c r="D13" s="3"/>
      <c r="E13" s="119"/>
      <c r="F13" s="119"/>
      <c r="G13" s="4"/>
    </row>
    <row r="14" spans="2:7" x14ac:dyDescent="0.2">
      <c r="B14" s="117"/>
      <c r="C14" s="2" t="s">
        <v>5</v>
      </c>
      <c r="D14" s="2"/>
      <c r="E14" s="120"/>
      <c r="F14" s="120"/>
      <c r="G14" s="5"/>
    </row>
    <row r="15" spans="2:7" ht="17" thickBot="1" x14ac:dyDescent="0.25">
      <c r="B15" s="118"/>
      <c r="C15" s="6" t="s">
        <v>6</v>
      </c>
      <c r="D15" s="6"/>
      <c r="E15" s="121"/>
      <c r="F15" s="121"/>
      <c r="G15" s="7"/>
    </row>
    <row r="16" spans="2:7" x14ac:dyDescent="0.2">
      <c r="B16" s="2"/>
      <c r="C16" s="2"/>
      <c r="D16" s="2"/>
      <c r="E16" s="2"/>
      <c r="F16" s="2"/>
      <c r="G16" s="2"/>
    </row>
    <row r="17" spans="2:7" x14ac:dyDescent="0.2">
      <c r="B17" s="2"/>
      <c r="C17" s="2"/>
      <c r="D17" s="2"/>
      <c r="E17" s="2"/>
      <c r="F17" s="2"/>
      <c r="G17" s="2"/>
    </row>
    <row r="18" spans="2:7" x14ac:dyDescent="0.2">
      <c r="B18" s="2"/>
      <c r="C18" s="2"/>
      <c r="D18" s="2"/>
      <c r="E18" s="2"/>
      <c r="F18" s="2"/>
      <c r="G18" s="2"/>
    </row>
    <row r="19" spans="2:7" x14ac:dyDescent="0.2">
      <c r="B19" s="2"/>
      <c r="C19" s="2"/>
      <c r="D19" s="2"/>
      <c r="E19" s="2"/>
      <c r="F19" s="2"/>
      <c r="G19" s="2"/>
    </row>
    <row r="20" spans="2:7" x14ac:dyDescent="0.2">
      <c r="B20" s="2"/>
      <c r="C20" s="2"/>
      <c r="D20" s="2"/>
      <c r="E20" s="2"/>
      <c r="F20" s="2"/>
      <c r="G20" s="2"/>
    </row>
    <row r="21" spans="2:7" x14ac:dyDescent="0.2">
      <c r="B21" s="2"/>
      <c r="C21" s="2"/>
      <c r="D21" s="2"/>
      <c r="E21" s="2"/>
      <c r="F21" s="2"/>
      <c r="G21" s="2"/>
    </row>
    <row r="22" spans="2:7" x14ac:dyDescent="0.2">
      <c r="B22" s="2"/>
      <c r="C22" s="2"/>
      <c r="D22" s="2"/>
      <c r="E22" s="2"/>
      <c r="F22" s="2"/>
      <c r="G22" s="2"/>
    </row>
    <row r="23" spans="2:7" x14ac:dyDescent="0.2">
      <c r="B23" s="2"/>
      <c r="C23" s="2"/>
      <c r="D23" s="2"/>
      <c r="E23" s="2"/>
      <c r="F23" s="2"/>
      <c r="G23" s="2"/>
    </row>
    <row r="24" spans="2:7" x14ac:dyDescent="0.2">
      <c r="B24" s="2"/>
      <c r="C24" s="2"/>
      <c r="D24" s="2"/>
      <c r="E24" s="2"/>
      <c r="F24" s="2"/>
      <c r="G24" s="2"/>
    </row>
    <row r="25" spans="2:7" x14ac:dyDescent="0.2">
      <c r="B25" s="2"/>
      <c r="C25" s="2"/>
      <c r="D25" s="2"/>
      <c r="E25" s="2"/>
      <c r="F25" s="2"/>
      <c r="G25" s="2"/>
    </row>
    <row r="26" spans="2:7" x14ac:dyDescent="0.2">
      <c r="B26" s="2"/>
      <c r="C26" s="2"/>
      <c r="D26" s="2"/>
      <c r="E26" s="2"/>
      <c r="F26" s="2"/>
      <c r="G26" s="2"/>
    </row>
    <row r="27" spans="2:7" x14ac:dyDescent="0.2">
      <c r="B27" s="2"/>
      <c r="C27" s="2"/>
      <c r="D27" s="2"/>
      <c r="E27" s="2"/>
      <c r="F27" s="2"/>
      <c r="G27" s="2"/>
    </row>
    <row r="28" spans="2:7" x14ac:dyDescent="0.2">
      <c r="B28" s="2"/>
      <c r="C28" s="2"/>
      <c r="D28" s="2"/>
      <c r="E28" s="2"/>
      <c r="F28" s="2"/>
      <c r="G28" s="2"/>
    </row>
    <row r="29" spans="2:7" x14ac:dyDescent="0.2">
      <c r="B29" s="2"/>
      <c r="C29" s="2"/>
      <c r="D29" s="2"/>
      <c r="E29" s="2"/>
      <c r="F29" s="2"/>
      <c r="G29" s="2"/>
    </row>
    <row r="30" spans="2:7" x14ac:dyDescent="0.2">
      <c r="B30" s="2"/>
      <c r="C30" s="2"/>
      <c r="D30" s="2"/>
      <c r="E30" s="2"/>
      <c r="F30" s="2"/>
      <c r="G30" s="2"/>
    </row>
    <row r="31" spans="2:7" x14ac:dyDescent="0.2">
      <c r="B31" s="2"/>
      <c r="C31" s="2"/>
      <c r="D31" s="2"/>
      <c r="E31" s="2"/>
      <c r="F31" s="2"/>
      <c r="G31" s="2"/>
    </row>
    <row r="32" spans="2:7" x14ac:dyDescent="0.2">
      <c r="B32" s="2"/>
      <c r="C32" s="2"/>
      <c r="D32" s="2"/>
      <c r="E32" s="2"/>
      <c r="F32" s="2"/>
      <c r="G32" s="2"/>
    </row>
    <row r="33" spans="2:7" x14ac:dyDescent="0.2">
      <c r="B33" s="2"/>
      <c r="C33" s="2"/>
      <c r="D33" s="2"/>
      <c r="E33" s="2"/>
      <c r="F33" s="2"/>
      <c r="G33" s="2"/>
    </row>
  </sheetData>
  <mergeCells count="14">
    <mergeCell ref="C3:D3"/>
    <mergeCell ref="E4:E6"/>
    <mergeCell ref="B4:B6"/>
    <mergeCell ref="F4:F6"/>
    <mergeCell ref="C2:G2"/>
    <mergeCell ref="B13:B15"/>
    <mergeCell ref="E13:E15"/>
    <mergeCell ref="F13:F15"/>
    <mergeCell ref="B7:B9"/>
    <mergeCell ref="E7:E9"/>
    <mergeCell ref="F7:F9"/>
    <mergeCell ref="B10:B12"/>
    <mergeCell ref="E10:E12"/>
    <mergeCell ref="F10:F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8886-BB60-254F-9AB9-95F797D2EA48}">
  <sheetPr>
    <tabColor theme="4"/>
  </sheetPr>
  <dimension ref="A1:S66"/>
  <sheetViews>
    <sheetView workbookViewId="0">
      <selection activeCell="F10" sqref="F10"/>
    </sheetView>
  </sheetViews>
  <sheetFormatPr baseColWidth="10" defaultRowHeight="16" x14ac:dyDescent="0.2"/>
  <cols>
    <col min="1" max="2" width="10.83203125" style="1"/>
    <col min="3" max="3" width="22.6640625" style="1" customWidth="1"/>
    <col min="4" max="4" width="36.33203125" style="1" customWidth="1"/>
    <col min="5" max="5" width="18.1640625" style="35" customWidth="1"/>
    <col min="6" max="17" width="13.83203125" style="35" customWidth="1"/>
    <col min="18" max="18" width="10.83203125" style="1"/>
    <col min="19" max="19" width="0" style="33" hidden="1" customWidth="1"/>
    <col min="20" max="16384" width="10.83203125" style="1"/>
  </cols>
  <sheetData>
    <row r="1" spans="1:19" ht="188" customHeight="1" thickBot="1" x14ac:dyDescent="0.25">
      <c r="A1" s="138"/>
      <c r="B1" s="139"/>
      <c r="C1" s="140"/>
      <c r="D1" s="141" t="s">
        <v>38</v>
      </c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3"/>
      <c r="S1" s="33" t="s">
        <v>39</v>
      </c>
    </row>
    <row r="2" spans="1:19" s="35" customFormat="1" x14ac:dyDescent="0.2">
      <c r="A2" s="144" t="s">
        <v>40</v>
      </c>
      <c r="B2" s="145"/>
      <c r="C2" s="146"/>
      <c r="D2" s="34" t="s">
        <v>41</v>
      </c>
      <c r="E2" s="150" t="s">
        <v>42</v>
      </c>
      <c r="F2" s="152" t="s">
        <v>43</v>
      </c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3"/>
      <c r="S2" s="33" t="s">
        <v>44</v>
      </c>
    </row>
    <row r="3" spans="1:19" x14ac:dyDescent="0.2">
      <c r="A3" s="147"/>
      <c r="B3" s="148"/>
      <c r="C3" s="149"/>
      <c r="D3" s="36" t="s">
        <v>45</v>
      </c>
      <c r="E3" s="151"/>
      <c r="F3" s="37" t="s">
        <v>46</v>
      </c>
      <c r="G3" s="37" t="s">
        <v>47</v>
      </c>
      <c r="H3" s="37" t="s">
        <v>48</v>
      </c>
      <c r="I3" s="37" t="s">
        <v>49</v>
      </c>
      <c r="J3" s="37" t="s">
        <v>50</v>
      </c>
      <c r="K3" s="37" t="s">
        <v>51</v>
      </c>
      <c r="L3" s="37" t="s">
        <v>52</v>
      </c>
      <c r="M3" s="37" t="s">
        <v>53</v>
      </c>
      <c r="N3" s="37" t="s">
        <v>54</v>
      </c>
      <c r="O3" s="37" t="s">
        <v>55</v>
      </c>
      <c r="P3" s="37" t="s">
        <v>56</v>
      </c>
      <c r="Q3" s="38" t="s">
        <v>57</v>
      </c>
      <c r="S3" s="33" t="s">
        <v>58</v>
      </c>
    </row>
    <row r="4" spans="1:19" ht="16" customHeight="1" x14ac:dyDescent="0.2">
      <c r="A4" s="127" t="s">
        <v>59</v>
      </c>
      <c r="B4" s="128"/>
      <c r="C4" s="129"/>
      <c r="D4" s="136" t="s">
        <v>60</v>
      </c>
      <c r="E4" s="137"/>
      <c r="Q4" s="32"/>
      <c r="S4" s="33" t="s">
        <v>61</v>
      </c>
    </row>
    <row r="5" spans="1:19" ht="16" customHeight="1" x14ac:dyDescent="0.2">
      <c r="A5" s="130"/>
      <c r="B5" s="131"/>
      <c r="C5" s="132"/>
      <c r="D5" s="39" t="s">
        <v>62</v>
      </c>
      <c r="E5" s="40" t="s">
        <v>63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1"/>
    </row>
    <row r="6" spans="1:19" x14ac:dyDescent="0.2">
      <c r="A6" s="130"/>
      <c r="B6" s="131"/>
      <c r="C6" s="132"/>
      <c r="D6" s="2" t="s">
        <v>64</v>
      </c>
      <c r="E6" s="40" t="s">
        <v>63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1"/>
    </row>
    <row r="7" spans="1:19" x14ac:dyDescent="0.2">
      <c r="A7" s="130"/>
      <c r="B7" s="131"/>
      <c r="C7" s="132"/>
      <c r="D7" s="2" t="s">
        <v>65</v>
      </c>
      <c r="E7" s="40" t="s">
        <v>63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1"/>
    </row>
    <row r="8" spans="1:19" x14ac:dyDescent="0.2">
      <c r="A8" s="133"/>
      <c r="B8" s="134"/>
      <c r="C8" s="135"/>
      <c r="D8" s="2" t="s">
        <v>66</v>
      </c>
      <c r="E8" s="40" t="s">
        <v>67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1"/>
    </row>
    <row r="9" spans="1:19" x14ac:dyDescent="0.2">
      <c r="A9" s="127" t="s">
        <v>68</v>
      </c>
      <c r="B9" s="128"/>
      <c r="C9" s="129"/>
      <c r="D9" s="161" t="s">
        <v>69</v>
      </c>
      <c r="E9" s="162"/>
      <c r="Q9" s="32"/>
    </row>
    <row r="10" spans="1:19" ht="16" customHeight="1" x14ac:dyDescent="0.2">
      <c r="A10" s="130"/>
      <c r="B10" s="131"/>
      <c r="C10" s="132"/>
      <c r="D10" s="2" t="s">
        <v>70</v>
      </c>
      <c r="E10" s="40" t="s">
        <v>63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1"/>
    </row>
    <row r="11" spans="1:19" x14ac:dyDescent="0.2">
      <c r="A11" s="130"/>
      <c r="B11" s="131"/>
      <c r="C11" s="132"/>
      <c r="D11" s="2" t="s">
        <v>71</v>
      </c>
      <c r="E11" s="40" t="s">
        <v>67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1"/>
    </row>
    <row r="12" spans="1:19" x14ac:dyDescent="0.2">
      <c r="A12" s="130"/>
      <c r="B12" s="131"/>
      <c r="C12" s="132"/>
      <c r="D12" s="2" t="s">
        <v>72</v>
      </c>
      <c r="E12" s="40" t="s">
        <v>67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1"/>
    </row>
    <row r="13" spans="1:19" x14ac:dyDescent="0.2">
      <c r="A13" s="130"/>
      <c r="B13" s="131"/>
      <c r="C13" s="132"/>
      <c r="D13" s="2" t="s">
        <v>73</v>
      </c>
      <c r="E13" s="40" t="s">
        <v>63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1"/>
    </row>
    <row r="14" spans="1:19" x14ac:dyDescent="0.2">
      <c r="A14" s="130"/>
      <c r="B14" s="131"/>
      <c r="C14" s="132"/>
      <c r="D14" s="2" t="s">
        <v>74</v>
      </c>
      <c r="E14" s="40" t="s">
        <v>63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1"/>
    </row>
    <row r="15" spans="1:19" ht="17" thickBot="1" x14ac:dyDescent="0.25">
      <c r="A15" s="158"/>
      <c r="B15" s="159"/>
      <c r="C15" s="160"/>
      <c r="D15" s="6" t="s">
        <v>75</v>
      </c>
      <c r="E15" s="42" t="s">
        <v>63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</row>
    <row r="16" spans="1:19" ht="17" thickBot="1" x14ac:dyDescent="0.25">
      <c r="A16" s="163"/>
      <c r="B16" s="163"/>
      <c r="C16" s="163"/>
    </row>
    <row r="17" spans="1:19" x14ac:dyDescent="0.2">
      <c r="A17" s="164" t="s">
        <v>76</v>
      </c>
      <c r="B17" s="165"/>
      <c r="C17" s="165"/>
      <c r="D17" s="170" t="s">
        <v>77</v>
      </c>
      <c r="E17" s="171"/>
      <c r="F17" s="152" t="s">
        <v>78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3"/>
    </row>
    <row r="18" spans="1:19" x14ac:dyDescent="0.2">
      <c r="A18" s="166"/>
      <c r="B18" s="167"/>
      <c r="C18" s="167"/>
      <c r="D18" s="172"/>
      <c r="E18" s="173"/>
      <c r="F18" s="44" t="s">
        <v>46</v>
      </c>
      <c r="G18" s="44" t="s">
        <v>47</v>
      </c>
      <c r="H18" s="44" t="s">
        <v>48</v>
      </c>
      <c r="I18" s="44" t="s">
        <v>49</v>
      </c>
      <c r="J18" s="44" t="s">
        <v>50</v>
      </c>
      <c r="K18" s="44" t="s">
        <v>51</v>
      </c>
      <c r="L18" s="44" t="s">
        <v>52</v>
      </c>
      <c r="M18" s="44" t="s">
        <v>53</v>
      </c>
      <c r="N18" s="44" t="s">
        <v>54</v>
      </c>
      <c r="O18" s="44" t="s">
        <v>55</v>
      </c>
      <c r="P18" s="44" t="s">
        <v>56</v>
      </c>
      <c r="Q18" s="45" t="s">
        <v>57</v>
      </c>
      <c r="S18" s="33">
        <v>0</v>
      </c>
    </row>
    <row r="19" spans="1:19" x14ac:dyDescent="0.2">
      <c r="A19" s="166"/>
      <c r="B19" s="167"/>
      <c r="C19" s="167"/>
      <c r="D19" s="154" t="s">
        <v>79</v>
      </c>
      <c r="E19" s="155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  <c r="S19" s="33">
        <v>1</v>
      </c>
    </row>
    <row r="20" spans="1:19" x14ac:dyDescent="0.2">
      <c r="A20" s="166"/>
      <c r="B20" s="167"/>
      <c r="C20" s="167"/>
      <c r="D20" s="156" t="s">
        <v>80</v>
      </c>
      <c r="E20" s="157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1"/>
      <c r="S20" s="33">
        <v>2</v>
      </c>
    </row>
    <row r="21" spans="1:19" x14ac:dyDescent="0.2">
      <c r="A21" s="166"/>
      <c r="B21" s="167"/>
      <c r="C21" s="167"/>
      <c r="D21" s="156" t="s">
        <v>81</v>
      </c>
      <c r="E21" s="157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1"/>
      <c r="S21" s="33">
        <v>3</v>
      </c>
    </row>
    <row r="22" spans="1:19" x14ac:dyDescent="0.2">
      <c r="A22" s="166"/>
      <c r="B22" s="167"/>
      <c r="C22" s="167"/>
      <c r="D22" s="156" t="s">
        <v>82</v>
      </c>
      <c r="E22" s="157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1"/>
      <c r="S22" s="33">
        <v>4</v>
      </c>
    </row>
    <row r="23" spans="1:19" x14ac:dyDescent="0.2">
      <c r="A23" s="166"/>
      <c r="B23" s="167"/>
      <c r="C23" s="167"/>
      <c r="D23" s="156" t="s">
        <v>83</v>
      </c>
      <c r="E23" s="157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1"/>
      <c r="S23" s="33">
        <v>5</v>
      </c>
    </row>
    <row r="24" spans="1:19" x14ac:dyDescent="0.2">
      <c r="A24" s="166"/>
      <c r="B24" s="167"/>
      <c r="C24" s="167"/>
      <c r="D24" s="156" t="s">
        <v>84</v>
      </c>
      <c r="E24" s="157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S24" s="33">
        <v>6</v>
      </c>
    </row>
    <row r="25" spans="1:19" x14ac:dyDescent="0.2">
      <c r="A25" s="166"/>
      <c r="B25" s="167"/>
      <c r="C25" s="167"/>
      <c r="D25" s="156" t="s">
        <v>85</v>
      </c>
      <c r="E25" s="157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1"/>
      <c r="S25" s="33">
        <v>7</v>
      </c>
    </row>
    <row r="26" spans="1:19" x14ac:dyDescent="0.2">
      <c r="A26" s="166"/>
      <c r="B26" s="167"/>
      <c r="C26" s="167"/>
      <c r="D26" s="156" t="s">
        <v>86</v>
      </c>
      <c r="E26" s="157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1"/>
      <c r="S26" s="33">
        <v>8</v>
      </c>
    </row>
    <row r="27" spans="1:19" x14ac:dyDescent="0.2">
      <c r="A27" s="166"/>
      <c r="B27" s="167"/>
      <c r="C27" s="167"/>
      <c r="D27" s="156" t="s">
        <v>87</v>
      </c>
      <c r="E27" s="157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1"/>
      <c r="S27" s="33">
        <v>9</v>
      </c>
    </row>
    <row r="28" spans="1:19" x14ac:dyDescent="0.2">
      <c r="A28" s="166"/>
      <c r="B28" s="167"/>
      <c r="C28" s="167"/>
      <c r="D28" s="156" t="s">
        <v>88</v>
      </c>
      <c r="E28" s="157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S28" s="33">
        <v>10</v>
      </c>
    </row>
    <row r="29" spans="1:19" x14ac:dyDescent="0.2">
      <c r="A29" s="166"/>
      <c r="B29" s="167"/>
      <c r="C29" s="167"/>
      <c r="D29" s="156" t="s">
        <v>89</v>
      </c>
      <c r="E29" s="157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</row>
    <row r="30" spans="1:19" x14ac:dyDescent="0.2">
      <c r="A30" s="166"/>
      <c r="B30" s="167"/>
      <c r="C30" s="167"/>
      <c r="D30" s="156" t="s">
        <v>90</v>
      </c>
      <c r="E30" s="157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1"/>
    </row>
    <row r="31" spans="1:19" x14ac:dyDescent="0.2">
      <c r="A31" s="166"/>
      <c r="B31" s="167"/>
      <c r="C31" s="167"/>
      <c r="D31" s="156" t="s">
        <v>91</v>
      </c>
      <c r="E31" s="157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1"/>
    </row>
    <row r="32" spans="1:19" x14ac:dyDescent="0.2">
      <c r="A32" s="166"/>
      <c r="B32" s="167"/>
      <c r="C32" s="167"/>
      <c r="D32" s="156" t="s">
        <v>92</v>
      </c>
      <c r="E32" s="157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1"/>
    </row>
    <row r="33" spans="1:17" x14ac:dyDescent="0.2">
      <c r="A33" s="166"/>
      <c r="B33" s="167"/>
      <c r="C33" s="167"/>
      <c r="D33" s="156" t="s">
        <v>93</v>
      </c>
      <c r="E33" s="157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1"/>
    </row>
    <row r="34" spans="1:17" x14ac:dyDescent="0.2">
      <c r="A34" s="166"/>
      <c r="B34" s="167"/>
      <c r="C34" s="167"/>
      <c r="D34" s="156" t="s">
        <v>94</v>
      </c>
      <c r="E34" s="157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1"/>
    </row>
    <row r="35" spans="1:17" x14ac:dyDescent="0.2">
      <c r="A35" s="166"/>
      <c r="B35" s="167"/>
      <c r="C35" s="167"/>
      <c r="D35" s="156" t="s">
        <v>95</v>
      </c>
      <c r="E35" s="157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1"/>
    </row>
    <row r="36" spans="1:17" x14ac:dyDescent="0.2">
      <c r="A36" s="166"/>
      <c r="B36" s="167"/>
      <c r="C36" s="167"/>
      <c r="D36" s="156" t="s">
        <v>96</v>
      </c>
      <c r="E36" s="157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1"/>
    </row>
    <row r="37" spans="1:17" x14ac:dyDescent="0.2">
      <c r="A37" s="166"/>
      <c r="B37" s="167"/>
      <c r="C37" s="167"/>
      <c r="D37" s="156" t="s">
        <v>97</v>
      </c>
      <c r="E37" s="157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1"/>
    </row>
    <row r="38" spans="1:17" x14ac:dyDescent="0.2">
      <c r="A38" s="166"/>
      <c r="B38" s="167"/>
      <c r="C38" s="167"/>
      <c r="D38" s="156" t="s">
        <v>98</v>
      </c>
      <c r="E38" s="157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1"/>
    </row>
    <row r="39" spans="1:17" x14ac:dyDescent="0.2">
      <c r="A39" s="166"/>
      <c r="B39" s="167"/>
      <c r="C39" s="167"/>
      <c r="D39" s="156" t="s">
        <v>99</v>
      </c>
      <c r="E39" s="157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1"/>
    </row>
    <row r="40" spans="1:17" ht="17" thickBot="1" x14ac:dyDescent="0.25">
      <c r="A40" s="168"/>
      <c r="B40" s="169"/>
      <c r="C40" s="169"/>
      <c r="D40" s="174" t="s">
        <v>100</v>
      </c>
      <c r="E40" s="175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3"/>
    </row>
    <row r="41" spans="1:17" ht="17" thickBot="1" x14ac:dyDescent="0.25">
      <c r="A41" s="47"/>
      <c r="B41" s="47"/>
      <c r="C41" s="47"/>
    </row>
    <row r="42" spans="1:17" x14ac:dyDescent="0.2">
      <c r="A42" s="164" t="s">
        <v>101</v>
      </c>
      <c r="B42" s="165"/>
      <c r="C42" s="165"/>
      <c r="D42" s="170" t="s">
        <v>77</v>
      </c>
      <c r="E42" s="171"/>
      <c r="F42" s="152" t="s">
        <v>78</v>
      </c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3"/>
    </row>
    <row r="43" spans="1:17" x14ac:dyDescent="0.2">
      <c r="A43" s="166"/>
      <c r="B43" s="167"/>
      <c r="C43" s="167"/>
      <c r="D43" s="172"/>
      <c r="E43" s="173"/>
      <c r="F43" s="44" t="s">
        <v>46</v>
      </c>
      <c r="G43" s="44" t="s">
        <v>47</v>
      </c>
      <c r="H43" s="44" t="s">
        <v>48</v>
      </c>
      <c r="I43" s="44" t="s">
        <v>49</v>
      </c>
      <c r="J43" s="44" t="s">
        <v>50</v>
      </c>
      <c r="K43" s="44" t="s">
        <v>51</v>
      </c>
      <c r="L43" s="44" t="s">
        <v>52</v>
      </c>
      <c r="M43" s="44" t="s">
        <v>53</v>
      </c>
      <c r="N43" s="44" t="s">
        <v>54</v>
      </c>
      <c r="O43" s="44" t="s">
        <v>55</v>
      </c>
      <c r="P43" s="44" t="s">
        <v>56</v>
      </c>
      <c r="Q43" s="45" t="s">
        <v>57</v>
      </c>
    </row>
    <row r="44" spans="1:17" x14ac:dyDescent="0.2">
      <c r="A44" s="166"/>
      <c r="B44" s="167"/>
      <c r="C44" s="167"/>
      <c r="D44" s="48" t="s">
        <v>102</v>
      </c>
      <c r="E44" s="49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1"/>
    </row>
    <row r="45" spans="1:17" x14ac:dyDescent="0.2">
      <c r="A45" s="166"/>
      <c r="B45" s="167"/>
      <c r="C45" s="167"/>
      <c r="D45" s="48" t="s">
        <v>103</v>
      </c>
      <c r="E45" s="49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1"/>
    </row>
    <row r="46" spans="1:17" x14ac:dyDescent="0.2">
      <c r="A46" s="166"/>
      <c r="B46" s="167"/>
      <c r="C46" s="167"/>
      <c r="D46" s="48" t="s">
        <v>104</v>
      </c>
      <c r="E46" s="49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1"/>
    </row>
    <row r="47" spans="1:17" x14ac:dyDescent="0.2">
      <c r="A47" s="166"/>
      <c r="B47" s="167"/>
      <c r="C47" s="167"/>
      <c r="D47" s="48" t="s">
        <v>105</v>
      </c>
      <c r="E47" s="49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1"/>
    </row>
    <row r="48" spans="1:17" x14ac:dyDescent="0.2">
      <c r="A48" s="166"/>
      <c r="B48" s="167"/>
      <c r="C48" s="167"/>
      <c r="D48" s="176" t="s">
        <v>106</v>
      </c>
      <c r="E48" s="177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1"/>
    </row>
    <row r="49" spans="1:17" x14ac:dyDescent="0.2">
      <c r="A49" s="166"/>
      <c r="B49" s="167"/>
      <c r="C49" s="167"/>
      <c r="D49" s="178" t="s">
        <v>107</v>
      </c>
      <c r="E49" s="179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1"/>
    </row>
    <row r="50" spans="1:17" x14ac:dyDescent="0.2">
      <c r="A50" s="166"/>
      <c r="B50" s="167"/>
      <c r="C50" s="167"/>
      <c r="D50" s="178" t="s">
        <v>108</v>
      </c>
      <c r="E50" s="179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1"/>
    </row>
    <row r="51" spans="1:17" x14ac:dyDescent="0.2">
      <c r="A51" s="166"/>
      <c r="B51" s="167"/>
      <c r="C51" s="167"/>
      <c r="D51" s="180" t="s">
        <v>109</v>
      </c>
      <c r="E51" s="18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1"/>
    </row>
    <row r="52" spans="1:17" x14ac:dyDescent="0.2">
      <c r="A52" s="166"/>
      <c r="B52" s="167"/>
      <c r="C52" s="167"/>
      <c r="D52" s="156" t="s">
        <v>110</v>
      </c>
      <c r="E52" s="157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1"/>
    </row>
    <row r="53" spans="1:17" x14ac:dyDescent="0.2">
      <c r="A53" s="166"/>
      <c r="B53" s="167"/>
      <c r="C53" s="167"/>
      <c r="D53" s="156" t="s">
        <v>111</v>
      </c>
      <c r="E53" s="157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1"/>
    </row>
    <row r="54" spans="1:17" x14ac:dyDescent="0.2">
      <c r="A54" s="166"/>
      <c r="B54" s="167"/>
      <c r="C54" s="167"/>
      <c r="D54" s="156" t="s">
        <v>112</v>
      </c>
      <c r="E54" s="157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1"/>
    </row>
    <row r="55" spans="1:17" x14ac:dyDescent="0.2">
      <c r="A55" s="166"/>
      <c r="B55" s="167"/>
      <c r="C55" s="167"/>
      <c r="D55" s="156" t="s">
        <v>113</v>
      </c>
      <c r="E55" s="157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1"/>
    </row>
    <row r="56" spans="1:17" x14ac:dyDescent="0.2">
      <c r="A56" s="166"/>
      <c r="B56" s="167"/>
      <c r="C56" s="167"/>
      <c r="D56" s="1" t="s">
        <v>114</v>
      </c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1"/>
    </row>
    <row r="57" spans="1:17" x14ac:dyDescent="0.2">
      <c r="A57" s="166"/>
      <c r="B57" s="167"/>
      <c r="C57" s="167"/>
      <c r="D57" s="156" t="s">
        <v>115</v>
      </c>
      <c r="E57" s="157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1"/>
    </row>
    <row r="58" spans="1:17" x14ac:dyDescent="0.2">
      <c r="A58" s="166"/>
      <c r="B58" s="167"/>
      <c r="C58" s="167"/>
      <c r="D58" s="1" t="s">
        <v>116</v>
      </c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</row>
    <row r="59" spans="1:17" x14ac:dyDescent="0.2">
      <c r="A59" s="166"/>
      <c r="B59" s="167"/>
      <c r="C59" s="167"/>
      <c r="D59" s="156" t="s">
        <v>117</v>
      </c>
      <c r="E59" s="181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1"/>
    </row>
    <row r="60" spans="1:17" x14ac:dyDescent="0.2">
      <c r="A60" s="166"/>
      <c r="B60" s="167"/>
      <c r="C60" s="167"/>
      <c r="D60" s="50" t="s">
        <v>118</v>
      </c>
      <c r="E60" s="51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1"/>
    </row>
    <row r="61" spans="1:17" x14ac:dyDescent="0.2">
      <c r="A61" s="166"/>
      <c r="B61" s="167"/>
      <c r="C61" s="167"/>
      <c r="D61" s="50" t="s">
        <v>119</v>
      </c>
      <c r="E61" s="51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1"/>
    </row>
    <row r="62" spans="1:17" x14ac:dyDescent="0.2">
      <c r="A62" s="166"/>
      <c r="B62" s="167"/>
      <c r="C62" s="167"/>
      <c r="D62" s="50" t="s">
        <v>120</v>
      </c>
      <c r="E62" s="51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</row>
    <row r="63" spans="1:17" x14ac:dyDescent="0.2">
      <c r="A63" s="166"/>
      <c r="B63" s="167"/>
      <c r="C63" s="167"/>
      <c r="D63" s="50" t="s">
        <v>121</v>
      </c>
      <c r="E63" s="51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1"/>
    </row>
    <row r="64" spans="1:17" x14ac:dyDescent="0.2">
      <c r="A64" s="166"/>
      <c r="B64" s="167"/>
      <c r="C64" s="167"/>
      <c r="D64" s="50" t="s">
        <v>122</v>
      </c>
      <c r="E64" s="51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1"/>
    </row>
    <row r="65" spans="1:17" x14ac:dyDescent="0.2">
      <c r="A65" s="166"/>
      <c r="B65" s="167"/>
      <c r="C65" s="167"/>
      <c r="D65" s="50" t="s">
        <v>123</v>
      </c>
      <c r="E65" s="52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1"/>
    </row>
    <row r="66" spans="1:17" ht="17" thickBot="1" x14ac:dyDescent="0.25">
      <c r="A66" s="168"/>
      <c r="B66" s="169"/>
      <c r="C66" s="169"/>
      <c r="D66" s="182" t="s">
        <v>124</v>
      </c>
      <c r="E66" s="183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3"/>
    </row>
  </sheetData>
  <mergeCells count="49">
    <mergeCell ref="D66:E66"/>
    <mergeCell ref="A42:C66"/>
    <mergeCell ref="D42:E43"/>
    <mergeCell ref="D52:E52"/>
    <mergeCell ref="D53:E53"/>
    <mergeCell ref="D54:E54"/>
    <mergeCell ref="D50:E50"/>
    <mergeCell ref="D51:E51"/>
    <mergeCell ref="D55:E55"/>
    <mergeCell ref="D57:E57"/>
    <mergeCell ref="D59:E59"/>
    <mergeCell ref="D38:E38"/>
    <mergeCell ref="D39:E39"/>
    <mergeCell ref="F42:Q42"/>
    <mergeCell ref="D48:E48"/>
    <mergeCell ref="D49:E49"/>
    <mergeCell ref="D33:E33"/>
    <mergeCell ref="D34:E34"/>
    <mergeCell ref="D35:E35"/>
    <mergeCell ref="D36:E36"/>
    <mergeCell ref="D37:E37"/>
    <mergeCell ref="D28:E28"/>
    <mergeCell ref="A9:C15"/>
    <mergeCell ref="D9:E9"/>
    <mergeCell ref="A16:C16"/>
    <mergeCell ref="A17:C40"/>
    <mergeCell ref="D17:E18"/>
    <mergeCell ref="D23:E23"/>
    <mergeCell ref="D24:E24"/>
    <mergeCell ref="D25:E25"/>
    <mergeCell ref="D26:E26"/>
    <mergeCell ref="D27:E27"/>
    <mergeCell ref="D40:E40"/>
    <mergeCell ref="D29:E29"/>
    <mergeCell ref="D30:E30"/>
    <mergeCell ref="D31:E31"/>
    <mergeCell ref="D32:E32"/>
    <mergeCell ref="F17:Q17"/>
    <mergeCell ref="D19:E19"/>
    <mergeCell ref="D20:E20"/>
    <mergeCell ref="D21:E21"/>
    <mergeCell ref="D22:E22"/>
    <mergeCell ref="A4:C8"/>
    <mergeCell ref="D4:E4"/>
    <mergeCell ref="A1:C1"/>
    <mergeCell ref="D1:Q1"/>
    <mergeCell ref="A2:C3"/>
    <mergeCell ref="E2:E3"/>
    <mergeCell ref="F2:Q2"/>
  </mergeCells>
  <conditionalFormatting sqref="F5:Q8">
    <cfRule type="containsText" dxfId="44" priority="35" operator="containsText" text="matriculado">
      <formula>NOT(ISERROR(SEARCH("matriculado",F5)))</formula>
    </cfRule>
    <cfRule type="containsText" dxfId="43" priority="36" operator="containsText" text="concluído">
      <formula>NOT(ISERROR(SEARCH("concluído",F5)))</formula>
    </cfRule>
    <cfRule type="containsText" dxfId="42" priority="37" operator="containsText" text="em andamento">
      <formula>NOT(ISERROR(SEARCH("em andamento",F5)))</formula>
    </cfRule>
    <cfRule type="containsText" dxfId="41" priority="38" operator="containsText" text="não iniciado">
      <formula>NOT(ISERROR(SEARCH("não iniciado",F5)))</formula>
    </cfRule>
  </conditionalFormatting>
  <conditionalFormatting sqref="F10:Q10">
    <cfRule type="containsText" dxfId="40" priority="31" operator="containsText" text="matriculado">
      <formula>NOT(ISERROR(SEARCH("matriculado",F10)))</formula>
    </cfRule>
    <cfRule type="containsText" dxfId="39" priority="32" operator="containsText" text="concluído">
      <formula>NOT(ISERROR(SEARCH("concluído",F10)))</formula>
    </cfRule>
    <cfRule type="containsText" dxfId="38" priority="33" operator="containsText" text="em andamento">
      <formula>NOT(ISERROR(SEARCH("em andamento",F10)))</formula>
    </cfRule>
    <cfRule type="containsText" dxfId="37" priority="34" operator="containsText" text="não iniciado">
      <formula>NOT(ISERROR(SEARCH("não iniciado",F10)))</formula>
    </cfRule>
  </conditionalFormatting>
  <conditionalFormatting sqref="F11:Q11">
    <cfRule type="containsText" dxfId="36" priority="27" operator="containsText" text="matriculado">
      <formula>NOT(ISERROR(SEARCH("matriculado",F11)))</formula>
    </cfRule>
    <cfRule type="containsText" dxfId="35" priority="28" operator="containsText" text="concluído">
      <formula>NOT(ISERROR(SEARCH("concluído",F11)))</formula>
    </cfRule>
    <cfRule type="containsText" dxfId="34" priority="29" operator="containsText" text="em andamento">
      <formula>NOT(ISERROR(SEARCH("em andamento",F11)))</formula>
    </cfRule>
    <cfRule type="containsText" dxfId="33" priority="30" operator="containsText" text="não iniciado">
      <formula>NOT(ISERROR(SEARCH("não iniciado",F11)))</formula>
    </cfRule>
  </conditionalFormatting>
  <conditionalFormatting sqref="F12:Q12">
    <cfRule type="containsText" dxfId="32" priority="23" operator="containsText" text="matriculado">
      <formula>NOT(ISERROR(SEARCH("matriculado",F12)))</formula>
    </cfRule>
    <cfRule type="containsText" dxfId="31" priority="24" operator="containsText" text="concluído">
      <formula>NOT(ISERROR(SEARCH("concluído",F12)))</formula>
    </cfRule>
    <cfRule type="containsText" dxfId="30" priority="25" operator="containsText" text="em andamento">
      <formula>NOT(ISERROR(SEARCH("em andamento",F12)))</formula>
    </cfRule>
    <cfRule type="containsText" dxfId="29" priority="26" operator="containsText" text="não iniciado">
      <formula>NOT(ISERROR(SEARCH("não iniciado",F12)))</formula>
    </cfRule>
  </conditionalFormatting>
  <conditionalFormatting sqref="F13:Q13">
    <cfRule type="containsText" dxfId="28" priority="19" operator="containsText" text="matriculado">
      <formula>NOT(ISERROR(SEARCH("matriculado",F13)))</formula>
    </cfRule>
    <cfRule type="containsText" dxfId="27" priority="20" operator="containsText" text="concluído">
      <formula>NOT(ISERROR(SEARCH("concluído",F13)))</formula>
    </cfRule>
    <cfRule type="containsText" dxfId="26" priority="21" operator="containsText" text="em andamento">
      <formula>NOT(ISERROR(SEARCH("em andamento",F13)))</formula>
    </cfRule>
    <cfRule type="containsText" dxfId="25" priority="22" operator="containsText" text="não iniciado">
      <formula>NOT(ISERROR(SEARCH("não iniciado",F13)))</formula>
    </cfRule>
  </conditionalFormatting>
  <conditionalFormatting sqref="F14:Q14">
    <cfRule type="containsText" dxfId="24" priority="15" operator="containsText" text="matriculado">
      <formula>NOT(ISERROR(SEARCH("matriculado",F14)))</formula>
    </cfRule>
    <cfRule type="containsText" dxfId="23" priority="16" operator="containsText" text="concluído">
      <formula>NOT(ISERROR(SEARCH("concluído",F14)))</formula>
    </cfRule>
    <cfRule type="containsText" dxfId="22" priority="17" operator="containsText" text="em andamento">
      <formula>NOT(ISERROR(SEARCH("em andamento",F14)))</formula>
    </cfRule>
    <cfRule type="containsText" dxfId="21" priority="18" operator="containsText" text="não iniciado">
      <formula>NOT(ISERROR(SEARCH("não iniciado",F14)))</formula>
    </cfRule>
  </conditionalFormatting>
  <conditionalFormatting sqref="F15:Q15">
    <cfRule type="containsText" dxfId="20" priority="11" operator="containsText" text="matriculado">
      <formula>NOT(ISERROR(SEARCH("matriculado",F15)))</formula>
    </cfRule>
    <cfRule type="containsText" dxfId="19" priority="12" operator="containsText" text="concluído">
      <formula>NOT(ISERROR(SEARCH("concluído",F15)))</formula>
    </cfRule>
    <cfRule type="containsText" dxfId="18" priority="13" operator="containsText" text="em andamento">
      <formula>NOT(ISERROR(SEARCH("em andamento",F15)))</formula>
    </cfRule>
    <cfRule type="containsText" dxfId="17" priority="14" operator="containsText" text="não iniciado">
      <formula>NOT(ISERROR(SEARCH("não iniciado",F15)))</formula>
    </cfRule>
  </conditionalFormatting>
  <conditionalFormatting sqref="F19:Q40">
    <cfRule type="cellIs" dxfId="16" priority="7" operator="between">
      <formula>$S$25</formula>
      <formula>$S$26</formula>
    </cfRule>
    <cfRule type="cellIs" dxfId="15" priority="8" operator="between">
      <formula>$S$22</formula>
      <formula>$S$24</formula>
    </cfRule>
    <cfRule type="cellIs" dxfId="14" priority="9" operator="between">
      <formula>$S$19</formula>
      <formula>$S$21</formula>
    </cfRule>
    <cfRule type="cellIs" dxfId="13" priority="10" operator="between">
      <formula>$S$27</formula>
      <formula>$S$28</formula>
    </cfRule>
  </conditionalFormatting>
  <conditionalFormatting sqref="F19:Q40">
    <cfRule type="cellIs" dxfId="12" priority="6" operator="equal">
      <formula>$S$18</formula>
    </cfRule>
  </conditionalFormatting>
  <conditionalFormatting sqref="F44:Q66">
    <cfRule type="cellIs" dxfId="11" priority="2" operator="between">
      <formula>$S$25</formula>
      <formula>$S$26</formula>
    </cfRule>
    <cfRule type="cellIs" dxfId="10" priority="3" operator="between">
      <formula>$S$22</formula>
      <formula>$S$24</formula>
    </cfRule>
    <cfRule type="cellIs" dxfId="9" priority="4" operator="between">
      <formula>$S$19</formula>
      <formula>$S$21</formula>
    </cfRule>
    <cfRule type="cellIs" dxfId="8" priority="5" operator="between">
      <formula>$S$27</formula>
      <formula>$S$28</formula>
    </cfRule>
  </conditionalFormatting>
  <conditionalFormatting sqref="F44:Q66">
    <cfRule type="cellIs" dxfId="7" priority="1" operator="equal">
      <formula>$S$18</formula>
    </cfRule>
  </conditionalFormatting>
  <dataValidations count="2">
    <dataValidation type="list" allowBlank="1" showInputMessage="1" showErrorMessage="1" sqref="F19:Q40 F44:Q66" xr:uid="{0930DF6B-8EDD-A04B-8FF2-6938F2E17D79}">
      <formula1>$S$18:$S$28</formula1>
    </dataValidation>
    <dataValidation type="list" allowBlank="1" showInputMessage="1" showErrorMessage="1" sqref="F5:Q8 F10:Q15" xr:uid="{C4666C87-48DA-2748-9430-5772D97A2453}">
      <formula1>$S$1:$S$4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896EA-91DF-E941-896E-D01EF9EDB63F}">
  <sheetPr>
    <tabColor theme="7"/>
  </sheetPr>
  <dimension ref="B1:E44"/>
  <sheetViews>
    <sheetView zoomScale="150" zoomScaleNormal="150" workbookViewId="0">
      <selection activeCell="E10" sqref="E10"/>
    </sheetView>
  </sheetViews>
  <sheetFormatPr baseColWidth="10" defaultRowHeight="16" x14ac:dyDescent="0.2"/>
  <cols>
    <col min="1" max="1" width="4.33203125" style="1" customWidth="1"/>
    <col min="2" max="2" width="25.6640625" style="13" customWidth="1"/>
    <col min="3" max="3" width="11.83203125" style="13" customWidth="1"/>
    <col min="4" max="4" width="12" style="13" customWidth="1"/>
    <col min="5" max="5" width="30.5" style="13" customWidth="1"/>
    <col min="6" max="16384" width="10.83203125" style="1"/>
  </cols>
  <sheetData>
    <row r="1" spans="2:5" x14ac:dyDescent="0.2">
      <c r="B1" s="29"/>
      <c r="C1" s="225" t="s">
        <v>37</v>
      </c>
      <c r="D1" s="226"/>
      <c r="E1" s="227"/>
    </row>
    <row r="2" spans="2:5" x14ac:dyDescent="0.2">
      <c r="B2" s="30"/>
      <c r="C2" s="228"/>
      <c r="D2" s="229"/>
      <c r="E2" s="230"/>
    </row>
    <row r="3" spans="2:5" x14ac:dyDescent="0.2">
      <c r="B3" s="30"/>
      <c r="C3" s="228"/>
      <c r="D3" s="229"/>
      <c r="E3" s="230"/>
    </row>
    <row r="4" spans="2:5" x14ac:dyDescent="0.2">
      <c r="B4" s="30"/>
      <c r="C4" s="228"/>
      <c r="D4" s="229"/>
      <c r="E4" s="230"/>
    </row>
    <row r="5" spans="2:5" x14ac:dyDescent="0.2">
      <c r="B5" s="30"/>
      <c r="C5" s="228"/>
      <c r="D5" s="229"/>
      <c r="E5" s="230"/>
    </row>
    <row r="6" spans="2:5" ht="17" thickBot="1" x14ac:dyDescent="0.25">
      <c r="B6" s="31"/>
      <c r="C6" s="231"/>
      <c r="D6" s="232"/>
      <c r="E6" s="233"/>
    </row>
    <row r="7" spans="2:5" x14ac:dyDescent="0.2">
      <c r="B7" s="186" t="s">
        <v>33</v>
      </c>
      <c r="C7" s="187"/>
      <c r="D7" s="187"/>
      <c r="E7" s="188"/>
    </row>
    <row r="8" spans="2:5" x14ac:dyDescent="0.2">
      <c r="B8" s="189"/>
      <c r="C8" s="190"/>
      <c r="D8" s="190"/>
      <c r="E8" s="191"/>
    </row>
    <row r="9" spans="2:5" x14ac:dyDescent="0.2">
      <c r="B9" s="24"/>
      <c r="C9" s="25"/>
      <c r="D9" s="25"/>
      <c r="E9" s="14"/>
    </row>
    <row r="10" spans="2:5" x14ac:dyDescent="0.2">
      <c r="B10" s="24" t="s">
        <v>34</v>
      </c>
      <c r="C10" s="25"/>
      <c r="D10" s="25"/>
      <c r="E10" s="26">
        <v>6000</v>
      </c>
    </row>
    <row r="11" spans="2:5" ht="17" thickBot="1" x14ac:dyDescent="0.25">
      <c r="B11" s="18"/>
      <c r="C11" s="15"/>
      <c r="D11" s="15"/>
      <c r="E11" s="16"/>
    </row>
    <row r="12" spans="2:5" x14ac:dyDescent="0.2">
      <c r="B12" s="192" t="s">
        <v>13</v>
      </c>
      <c r="C12" s="193"/>
      <c r="D12" s="193"/>
      <c r="E12" s="194"/>
    </row>
    <row r="13" spans="2:5" x14ac:dyDescent="0.2">
      <c r="B13" s="17"/>
      <c r="C13" s="25"/>
      <c r="D13" s="195" t="s">
        <v>14</v>
      </c>
      <c r="E13" s="196"/>
    </row>
    <row r="14" spans="2:5" x14ac:dyDescent="0.2">
      <c r="B14" s="197" t="s">
        <v>15</v>
      </c>
      <c r="C14" s="198"/>
      <c r="D14" s="199">
        <v>150000</v>
      </c>
      <c r="E14" s="200"/>
    </row>
    <row r="15" spans="2:5" x14ac:dyDescent="0.2">
      <c r="B15" s="197" t="s">
        <v>16</v>
      </c>
      <c r="C15" s="198"/>
      <c r="D15" s="199">
        <v>250000</v>
      </c>
      <c r="E15" s="200"/>
    </row>
    <row r="16" spans="2:5" x14ac:dyDescent="0.2">
      <c r="B16" s="197" t="s">
        <v>17</v>
      </c>
      <c r="C16" s="198"/>
      <c r="D16" s="199">
        <v>450000</v>
      </c>
      <c r="E16" s="200"/>
    </row>
    <row r="17" spans="2:5" x14ac:dyDescent="0.2">
      <c r="B17" s="197" t="s">
        <v>18</v>
      </c>
      <c r="C17" s="198"/>
      <c r="D17" s="199">
        <v>800000</v>
      </c>
      <c r="E17" s="200"/>
    </row>
    <row r="18" spans="2:5" x14ac:dyDescent="0.2">
      <c r="B18" s="234" t="s">
        <v>19</v>
      </c>
      <c r="C18" s="235"/>
      <c r="D18" s="243" t="s">
        <v>20</v>
      </c>
      <c r="E18" s="244"/>
    </row>
    <row r="19" spans="2:5" x14ac:dyDescent="0.2">
      <c r="B19" s="234" t="s">
        <v>21</v>
      </c>
      <c r="C19" s="235"/>
      <c r="D19" s="184">
        <v>450000</v>
      </c>
      <c r="E19" s="185"/>
    </row>
    <row r="20" spans="2:5" ht="17" thickBot="1" x14ac:dyDescent="0.25">
      <c r="B20" s="18"/>
      <c r="C20" s="15"/>
      <c r="D20" s="19"/>
      <c r="E20" s="20"/>
    </row>
    <row r="21" spans="2:5" x14ac:dyDescent="0.2">
      <c r="B21" s="236" t="s">
        <v>22</v>
      </c>
      <c r="C21" s="237"/>
      <c r="D21" s="237"/>
      <c r="E21" s="238"/>
    </row>
    <row r="22" spans="2:5" x14ac:dyDescent="0.2">
      <c r="B22" s="201" t="s">
        <v>23</v>
      </c>
      <c r="C22" s="202"/>
      <c r="D22" s="239">
        <v>1.4999999999999999E-2</v>
      </c>
      <c r="E22" s="240"/>
    </row>
    <row r="23" spans="2:5" x14ac:dyDescent="0.2">
      <c r="B23" s="24" t="s">
        <v>24</v>
      </c>
      <c r="C23" s="25"/>
      <c r="D23" s="241">
        <f>D22*D19</f>
        <v>6750</v>
      </c>
      <c r="E23" s="242"/>
    </row>
    <row r="24" spans="2:5" ht="17" thickBot="1" x14ac:dyDescent="0.25">
      <c r="B24" s="18"/>
      <c r="C24" s="15"/>
      <c r="D24" s="19"/>
      <c r="E24" s="20"/>
    </row>
    <row r="25" spans="2:5" x14ac:dyDescent="0.2">
      <c r="B25" s="236" t="s">
        <v>25</v>
      </c>
      <c r="C25" s="237"/>
      <c r="D25" s="237"/>
      <c r="E25" s="238"/>
    </row>
    <row r="26" spans="2:5" x14ac:dyDescent="0.2">
      <c r="B26" s="24" t="s">
        <v>36</v>
      </c>
      <c r="C26" s="25"/>
      <c r="D26" s="25"/>
      <c r="E26" s="27">
        <f>E10/D23</f>
        <v>0.88888888888888884</v>
      </c>
    </row>
    <row r="27" spans="2:5" x14ac:dyDescent="0.2">
      <c r="B27" s="222" t="s">
        <v>35</v>
      </c>
      <c r="C27" s="223"/>
      <c r="D27" s="223"/>
      <c r="E27" s="224"/>
    </row>
    <row r="28" spans="2:5" x14ac:dyDescent="0.2">
      <c r="B28" s="211">
        <f>E26</f>
        <v>0.88888888888888884</v>
      </c>
      <c r="C28" s="212"/>
      <c r="D28" s="212"/>
      <c r="E28" s="213"/>
    </row>
    <row r="29" spans="2:5" x14ac:dyDescent="0.2">
      <c r="B29" s="211"/>
      <c r="C29" s="212"/>
      <c r="D29" s="212"/>
      <c r="E29" s="213"/>
    </row>
    <row r="30" spans="2:5" ht="32" thickBot="1" x14ac:dyDescent="0.25">
      <c r="B30" s="28"/>
      <c r="C30" s="21"/>
      <c r="D30" s="21"/>
      <c r="E30" s="22"/>
    </row>
    <row r="31" spans="2:5" x14ac:dyDescent="0.2">
      <c r="B31" s="214" t="s">
        <v>26</v>
      </c>
      <c r="C31" s="215"/>
      <c r="D31" s="215"/>
      <c r="E31" s="216"/>
    </row>
    <row r="32" spans="2:5" x14ac:dyDescent="0.2">
      <c r="B32" s="217" t="s">
        <v>27</v>
      </c>
      <c r="C32" s="218"/>
      <c r="D32" s="218"/>
      <c r="E32" s="219"/>
    </row>
    <row r="33" spans="2:5" x14ac:dyDescent="0.2">
      <c r="B33" s="217"/>
      <c r="C33" s="218"/>
      <c r="D33" s="218"/>
      <c r="E33" s="219"/>
    </row>
    <row r="34" spans="2:5" x14ac:dyDescent="0.2">
      <c r="B34" s="201" t="s">
        <v>28</v>
      </c>
      <c r="C34" s="202"/>
      <c r="D34" s="220">
        <v>1.4999999999999999E-2</v>
      </c>
      <c r="E34" s="221"/>
    </row>
    <row r="35" spans="2:5" x14ac:dyDescent="0.2">
      <c r="B35" s="222" t="s">
        <v>29</v>
      </c>
      <c r="C35" s="223"/>
      <c r="D35" s="223"/>
      <c r="E35" s="224"/>
    </row>
    <row r="36" spans="2:5" x14ac:dyDescent="0.2">
      <c r="B36" s="208">
        <f>B28/D34</f>
        <v>59.25925925925926</v>
      </c>
      <c r="C36" s="209"/>
      <c r="D36" s="209"/>
      <c r="E36" s="210"/>
    </row>
    <row r="37" spans="2:5" x14ac:dyDescent="0.2">
      <c r="B37" s="208"/>
      <c r="C37" s="209"/>
      <c r="D37" s="209"/>
      <c r="E37" s="210"/>
    </row>
    <row r="38" spans="2:5" ht="17" thickBot="1" x14ac:dyDescent="0.25">
      <c r="B38" s="24"/>
      <c r="C38" s="25"/>
      <c r="D38" s="25"/>
      <c r="E38" s="14"/>
    </row>
    <row r="39" spans="2:5" x14ac:dyDescent="0.2">
      <c r="B39" s="214" t="s">
        <v>30</v>
      </c>
      <c r="C39" s="215"/>
      <c r="D39" s="215"/>
      <c r="E39" s="216"/>
    </row>
    <row r="40" spans="2:5" x14ac:dyDescent="0.2">
      <c r="B40" s="201" t="s">
        <v>31</v>
      </c>
      <c r="C40" s="202"/>
      <c r="D40" s="203">
        <v>25</v>
      </c>
      <c r="E40" s="204"/>
    </row>
    <row r="41" spans="2:5" x14ac:dyDescent="0.2">
      <c r="B41" s="205" t="s">
        <v>32</v>
      </c>
      <c r="C41" s="206"/>
      <c r="D41" s="206"/>
      <c r="E41" s="207"/>
    </row>
    <row r="42" spans="2:5" x14ac:dyDescent="0.2">
      <c r="B42" s="208">
        <f>B36/D40</f>
        <v>2.3703703703703702</v>
      </c>
      <c r="C42" s="209"/>
      <c r="D42" s="209"/>
      <c r="E42" s="210"/>
    </row>
    <row r="43" spans="2:5" x14ac:dyDescent="0.2">
      <c r="B43" s="208"/>
      <c r="C43" s="209"/>
      <c r="D43" s="209"/>
      <c r="E43" s="210"/>
    </row>
    <row r="44" spans="2:5" ht="17" thickBot="1" x14ac:dyDescent="0.25">
      <c r="B44" s="18"/>
      <c r="C44" s="15"/>
      <c r="D44" s="15"/>
      <c r="E44" s="23"/>
    </row>
  </sheetData>
  <mergeCells count="34">
    <mergeCell ref="C1:E6"/>
    <mergeCell ref="B18:C18"/>
    <mergeCell ref="B19:C19"/>
    <mergeCell ref="B36:E37"/>
    <mergeCell ref="B39:E39"/>
    <mergeCell ref="B21:E21"/>
    <mergeCell ref="B22:C22"/>
    <mergeCell ref="D22:E22"/>
    <mergeCell ref="D23:E23"/>
    <mergeCell ref="B25:E25"/>
    <mergeCell ref="B27:E27"/>
    <mergeCell ref="B16:C16"/>
    <mergeCell ref="D16:E16"/>
    <mergeCell ref="B17:C17"/>
    <mergeCell ref="D17:E17"/>
    <mergeCell ref="D18:E18"/>
    <mergeCell ref="B40:C40"/>
    <mergeCell ref="D40:E40"/>
    <mergeCell ref="B41:E41"/>
    <mergeCell ref="B42:E43"/>
    <mergeCell ref="B28:E29"/>
    <mergeCell ref="B31:E31"/>
    <mergeCell ref="B32:E33"/>
    <mergeCell ref="B34:C34"/>
    <mergeCell ref="D34:E34"/>
    <mergeCell ref="B35:E35"/>
    <mergeCell ref="D19:E19"/>
    <mergeCell ref="B7:E8"/>
    <mergeCell ref="B12:E12"/>
    <mergeCell ref="D13:E13"/>
    <mergeCell ref="B14:C14"/>
    <mergeCell ref="D14:E14"/>
    <mergeCell ref="B15:C15"/>
    <mergeCell ref="D15:E1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CF61-55B5-AD41-81A6-079109DF7B5E}">
  <sheetPr>
    <tabColor theme="7"/>
  </sheetPr>
  <dimension ref="B1:J63"/>
  <sheetViews>
    <sheetView topLeftCell="A2" workbookViewId="0">
      <selection activeCell="E31" sqref="E31:E33"/>
    </sheetView>
  </sheetViews>
  <sheetFormatPr baseColWidth="10" defaultRowHeight="16" x14ac:dyDescent="0.2"/>
  <cols>
    <col min="1" max="1" width="3.1640625" style="1" customWidth="1"/>
    <col min="2" max="2" width="39.83203125" style="1" customWidth="1"/>
    <col min="3" max="3" width="27" style="1" customWidth="1"/>
    <col min="4" max="4" width="25.1640625" style="1" customWidth="1"/>
    <col min="5" max="5" width="23.5" style="1" customWidth="1"/>
    <col min="6" max="6" width="42.6640625" style="63" customWidth="1"/>
    <col min="7" max="7" width="36.83203125" style="1" customWidth="1"/>
    <col min="8" max="8" width="25" style="1" customWidth="1"/>
    <col min="9" max="9" width="10.83203125" style="1"/>
    <col min="10" max="10" width="0" style="1" hidden="1" customWidth="1"/>
    <col min="11" max="16384" width="10.83203125" style="1"/>
  </cols>
  <sheetData>
    <row r="1" spans="2:10" ht="17" thickBot="1" x14ac:dyDescent="0.25"/>
    <row r="2" spans="2:10" ht="152" customHeight="1" x14ac:dyDescent="0.2">
      <c r="B2" s="12"/>
      <c r="C2" s="245" t="s">
        <v>125</v>
      </c>
      <c r="D2" s="246"/>
      <c r="E2" s="246"/>
      <c r="F2" s="246"/>
      <c r="G2" s="246"/>
      <c r="H2" s="247"/>
    </row>
    <row r="3" spans="2:10" s="35" customFormat="1" ht="17" thickBot="1" x14ac:dyDescent="0.25">
      <c r="B3" s="54" t="s">
        <v>9</v>
      </c>
      <c r="C3" s="54" t="s">
        <v>131</v>
      </c>
      <c r="D3" s="54" t="s">
        <v>10</v>
      </c>
      <c r="E3" s="54" t="s">
        <v>12</v>
      </c>
      <c r="F3" s="54" t="s">
        <v>11</v>
      </c>
      <c r="G3" s="54" t="s">
        <v>131</v>
      </c>
      <c r="H3" s="54" t="s">
        <v>12</v>
      </c>
      <c r="J3" s="35" t="s">
        <v>12</v>
      </c>
    </row>
    <row r="4" spans="2:10" s="53" customFormat="1" x14ac:dyDescent="0.2">
      <c r="B4" s="248"/>
      <c r="C4" s="251"/>
      <c r="D4" s="251"/>
      <c r="E4" s="251"/>
      <c r="F4" s="64" t="s">
        <v>126</v>
      </c>
      <c r="G4" s="57"/>
      <c r="H4" s="58"/>
      <c r="J4" s="53" t="s">
        <v>129</v>
      </c>
    </row>
    <row r="5" spans="2:10" s="53" customFormat="1" x14ac:dyDescent="0.2">
      <c r="B5" s="249"/>
      <c r="C5" s="252"/>
      <c r="D5" s="252"/>
      <c r="E5" s="252"/>
      <c r="F5" s="65" t="s">
        <v>127</v>
      </c>
      <c r="G5" s="59"/>
      <c r="H5" s="60"/>
      <c r="J5" s="53" t="s">
        <v>130</v>
      </c>
    </row>
    <row r="6" spans="2:10" s="53" customFormat="1" ht="17" thickBot="1" x14ac:dyDescent="0.25">
      <c r="B6" s="250"/>
      <c r="C6" s="253"/>
      <c r="D6" s="253"/>
      <c r="E6" s="253"/>
      <c r="F6" s="66" t="s">
        <v>128</v>
      </c>
      <c r="G6" s="61"/>
      <c r="H6" s="62"/>
    </row>
    <row r="7" spans="2:10" x14ac:dyDescent="0.2">
      <c r="B7" s="248"/>
      <c r="C7" s="251"/>
      <c r="D7" s="251"/>
      <c r="E7" s="251"/>
      <c r="F7" s="64" t="s">
        <v>126</v>
      </c>
      <c r="G7" s="56"/>
      <c r="H7" s="58"/>
    </row>
    <row r="8" spans="2:10" x14ac:dyDescent="0.2">
      <c r="B8" s="249"/>
      <c r="C8" s="252"/>
      <c r="D8" s="252"/>
      <c r="E8" s="252"/>
      <c r="F8" s="65" t="s">
        <v>127</v>
      </c>
      <c r="G8" s="59"/>
      <c r="H8" s="60"/>
    </row>
    <row r="9" spans="2:10" ht="17" thickBot="1" x14ac:dyDescent="0.25">
      <c r="B9" s="250"/>
      <c r="C9" s="253"/>
      <c r="D9" s="253"/>
      <c r="E9" s="253"/>
      <c r="F9" s="66" t="s">
        <v>128</v>
      </c>
      <c r="G9" s="61"/>
      <c r="H9" s="62"/>
    </row>
    <row r="10" spans="2:10" x14ac:dyDescent="0.2">
      <c r="B10" s="248"/>
      <c r="C10" s="251"/>
      <c r="D10" s="251"/>
      <c r="E10" s="251"/>
      <c r="F10" s="64" t="s">
        <v>126</v>
      </c>
      <c r="G10" s="56"/>
      <c r="H10" s="58"/>
    </row>
    <row r="11" spans="2:10" x14ac:dyDescent="0.2">
      <c r="B11" s="249"/>
      <c r="C11" s="252"/>
      <c r="D11" s="252"/>
      <c r="E11" s="252"/>
      <c r="F11" s="65" t="s">
        <v>127</v>
      </c>
      <c r="G11" s="59"/>
      <c r="H11" s="60"/>
    </row>
    <row r="12" spans="2:10" ht="17" thickBot="1" x14ac:dyDescent="0.25">
      <c r="B12" s="250"/>
      <c r="C12" s="253"/>
      <c r="D12" s="253"/>
      <c r="E12" s="253"/>
      <c r="F12" s="66" t="s">
        <v>128</v>
      </c>
      <c r="G12" s="61"/>
      <c r="H12" s="62"/>
    </row>
    <row r="13" spans="2:10" x14ac:dyDescent="0.2">
      <c r="B13" s="248"/>
      <c r="C13" s="251"/>
      <c r="D13" s="251"/>
      <c r="E13" s="251"/>
      <c r="F13" s="64"/>
      <c r="G13" s="56"/>
      <c r="H13" s="58"/>
    </row>
    <row r="14" spans="2:10" x14ac:dyDescent="0.2">
      <c r="B14" s="249"/>
      <c r="C14" s="252"/>
      <c r="D14" s="252"/>
      <c r="E14" s="252"/>
      <c r="F14" s="65"/>
      <c r="G14" s="59"/>
      <c r="H14" s="60"/>
    </row>
    <row r="15" spans="2:10" ht="17" thickBot="1" x14ac:dyDescent="0.25">
      <c r="B15" s="250"/>
      <c r="C15" s="253"/>
      <c r="D15" s="253"/>
      <c r="E15" s="253"/>
      <c r="F15" s="66"/>
      <c r="G15" s="61"/>
      <c r="H15" s="62"/>
    </row>
    <row r="16" spans="2:10" x14ac:dyDescent="0.2">
      <c r="B16" s="248"/>
      <c r="C16" s="251"/>
      <c r="D16" s="251"/>
      <c r="E16" s="251"/>
      <c r="F16" s="64"/>
      <c r="G16" s="56"/>
      <c r="H16" s="58"/>
    </row>
    <row r="17" spans="2:8" x14ac:dyDescent="0.2">
      <c r="B17" s="249"/>
      <c r="C17" s="252"/>
      <c r="D17" s="252"/>
      <c r="E17" s="252"/>
      <c r="F17" s="65"/>
      <c r="G17" s="59"/>
      <c r="H17" s="60"/>
    </row>
    <row r="18" spans="2:8" ht="17" thickBot="1" x14ac:dyDescent="0.25">
      <c r="B18" s="250"/>
      <c r="C18" s="253"/>
      <c r="D18" s="253"/>
      <c r="E18" s="253"/>
      <c r="F18" s="66"/>
      <c r="G18" s="61"/>
      <c r="H18" s="62"/>
    </row>
    <row r="19" spans="2:8" x14ac:dyDescent="0.2">
      <c r="B19" s="248"/>
      <c r="C19" s="251"/>
      <c r="D19" s="251"/>
      <c r="E19" s="251"/>
      <c r="F19" s="64"/>
      <c r="G19" s="56"/>
      <c r="H19" s="58"/>
    </row>
    <row r="20" spans="2:8" x14ac:dyDescent="0.2">
      <c r="B20" s="249"/>
      <c r="C20" s="252"/>
      <c r="D20" s="252"/>
      <c r="E20" s="252"/>
      <c r="F20" s="65"/>
      <c r="G20" s="59"/>
      <c r="H20" s="60"/>
    </row>
    <row r="21" spans="2:8" ht="17" thickBot="1" x14ac:dyDescent="0.25">
      <c r="B21" s="250"/>
      <c r="C21" s="253"/>
      <c r="D21" s="253"/>
      <c r="E21" s="253"/>
      <c r="F21" s="66"/>
      <c r="G21" s="61"/>
      <c r="H21" s="62"/>
    </row>
    <row r="22" spans="2:8" x14ac:dyDescent="0.2">
      <c r="B22" s="248"/>
      <c r="C22" s="251"/>
      <c r="D22" s="251"/>
      <c r="E22" s="251"/>
      <c r="F22" s="64"/>
      <c r="G22" s="56"/>
      <c r="H22" s="58"/>
    </row>
    <row r="23" spans="2:8" x14ac:dyDescent="0.2">
      <c r="B23" s="249"/>
      <c r="C23" s="252"/>
      <c r="D23" s="252"/>
      <c r="E23" s="252"/>
      <c r="F23" s="65"/>
      <c r="G23" s="59"/>
      <c r="H23" s="60"/>
    </row>
    <row r="24" spans="2:8" ht="17" thickBot="1" x14ac:dyDescent="0.25">
      <c r="B24" s="250"/>
      <c r="C24" s="253"/>
      <c r="D24" s="253"/>
      <c r="E24" s="253"/>
      <c r="F24" s="66"/>
      <c r="G24" s="61"/>
      <c r="H24" s="62"/>
    </row>
    <row r="25" spans="2:8" x14ac:dyDescent="0.2">
      <c r="B25" s="248"/>
      <c r="C25" s="251"/>
      <c r="D25" s="251"/>
      <c r="E25" s="251"/>
      <c r="F25" s="64"/>
      <c r="G25" s="56"/>
      <c r="H25" s="58"/>
    </row>
    <row r="26" spans="2:8" x14ac:dyDescent="0.2">
      <c r="B26" s="249"/>
      <c r="C26" s="252"/>
      <c r="D26" s="252"/>
      <c r="E26" s="252"/>
      <c r="F26" s="65"/>
      <c r="G26" s="59"/>
      <c r="H26" s="60"/>
    </row>
    <row r="27" spans="2:8" ht="17" thickBot="1" x14ac:dyDescent="0.25">
      <c r="B27" s="250"/>
      <c r="C27" s="253"/>
      <c r="D27" s="253"/>
      <c r="E27" s="253"/>
      <c r="F27" s="66"/>
      <c r="G27" s="61"/>
      <c r="H27" s="62"/>
    </row>
    <row r="28" spans="2:8" x14ac:dyDescent="0.2">
      <c r="B28" s="248"/>
      <c r="C28" s="251"/>
      <c r="D28" s="251"/>
      <c r="E28" s="251"/>
      <c r="F28" s="64"/>
      <c r="G28" s="56"/>
      <c r="H28" s="58"/>
    </row>
    <row r="29" spans="2:8" x14ac:dyDescent="0.2">
      <c r="B29" s="249"/>
      <c r="C29" s="252"/>
      <c r="D29" s="252"/>
      <c r="E29" s="252"/>
      <c r="F29" s="65"/>
      <c r="G29" s="59"/>
      <c r="H29" s="60"/>
    </row>
    <row r="30" spans="2:8" ht="17" thickBot="1" x14ac:dyDescent="0.25">
      <c r="B30" s="250"/>
      <c r="C30" s="253"/>
      <c r="D30" s="253"/>
      <c r="E30" s="253"/>
      <c r="F30" s="66"/>
      <c r="G30" s="61"/>
      <c r="H30" s="62"/>
    </row>
    <row r="31" spans="2:8" x14ac:dyDescent="0.2">
      <c r="B31" s="248"/>
      <c r="C31" s="251"/>
      <c r="D31" s="251"/>
      <c r="E31" s="251"/>
      <c r="F31" s="64"/>
      <c r="G31" s="56"/>
      <c r="H31" s="58"/>
    </row>
    <row r="32" spans="2:8" x14ac:dyDescent="0.2">
      <c r="B32" s="249"/>
      <c r="C32" s="252"/>
      <c r="D32" s="252"/>
      <c r="E32" s="252"/>
      <c r="F32" s="65"/>
      <c r="G32" s="59"/>
      <c r="H32" s="60"/>
    </row>
    <row r="33" spans="2:8" ht="17" thickBot="1" x14ac:dyDescent="0.25">
      <c r="B33" s="250"/>
      <c r="C33" s="253"/>
      <c r="D33" s="253"/>
      <c r="E33" s="253"/>
      <c r="F33" s="66"/>
      <c r="G33" s="61"/>
      <c r="H33" s="62"/>
    </row>
    <row r="34" spans="2:8" x14ac:dyDescent="0.2">
      <c r="B34" s="248"/>
      <c r="C34" s="251"/>
      <c r="D34" s="251"/>
      <c r="E34" s="251"/>
      <c r="F34" s="64"/>
      <c r="G34" s="57"/>
      <c r="H34" s="58"/>
    </row>
    <row r="35" spans="2:8" x14ac:dyDescent="0.2">
      <c r="B35" s="249"/>
      <c r="C35" s="252"/>
      <c r="D35" s="252"/>
      <c r="E35" s="252"/>
      <c r="F35" s="65"/>
      <c r="G35" s="59"/>
      <c r="H35" s="60"/>
    </row>
    <row r="36" spans="2:8" ht="17" thickBot="1" x14ac:dyDescent="0.25">
      <c r="B36" s="250"/>
      <c r="C36" s="253"/>
      <c r="D36" s="253"/>
      <c r="E36" s="253"/>
      <c r="F36" s="66"/>
      <c r="G36" s="61"/>
      <c r="H36" s="62"/>
    </row>
    <row r="37" spans="2:8" x14ac:dyDescent="0.2">
      <c r="B37" s="248"/>
      <c r="C37" s="251"/>
      <c r="D37" s="251"/>
      <c r="E37" s="251"/>
      <c r="F37" s="64"/>
      <c r="G37" s="56"/>
      <c r="H37" s="58"/>
    </row>
    <row r="38" spans="2:8" x14ac:dyDescent="0.2">
      <c r="B38" s="249"/>
      <c r="C38" s="252"/>
      <c r="D38" s="252"/>
      <c r="E38" s="252"/>
      <c r="F38" s="65"/>
      <c r="G38" s="59"/>
      <c r="H38" s="60"/>
    </row>
    <row r="39" spans="2:8" ht="17" thickBot="1" x14ac:dyDescent="0.25">
      <c r="B39" s="250"/>
      <c r="C39" s="253"/>
      <c r="D39" s="253"/>
      <c r="E39" s="253"/>
      <c r="F39" s="66"/>
      <c r="G39" s="61"/>
      <c r="H39" s="62"/>
    </row>
    <row r="40" spans="2:8" x14ac:dyDescent="0.2">
      <c r="B40" s="248"/>
      <c r="C40" s="251"/>
      <c r="D40" s="251"/>
      <c r="E40" s="251"/>
      <c r="F40" s="64"/>
      <c r="G40" s="56"/>
      <c r="H40" s="58"/>
    </row>
    <row r="41" spans="2:8" x14ac:dyDescent="0.2">
      <c r="B41" s="249"/>
      <c r="C41" s="252"/>
      <c r="D41" s="252"/>
      <c r="E41" s="252"/>
      <c r="F41" s="65"/>
      <c r="G41" s="59"/>
      <c r="H41" s="60"/>
    </row>
    <row r="42" spans="2:8" ht="17" thickBot="1" x14ac:dyDescent="0.25">
      <c r="B42" s="250"/>
      <c r="C42" s="253"/>
      <c r="D42" s="253"/>
      <c r="E42" s="253"/>
      <c r="F42" s="66"/>
      <c r="G42" s="61"/>
      <c r="H42" s="62"/>
    </row>
    <row r="43" spans="2:8" x14ac:dyDescent="0.2">
      <c r="B43" s="248"/>
      <c r="C43" s="251"/>
      <c r="D43" s="251"/>
      <c r="E43" s="251"/>
      <c r="F43" s="64"/>
      <c r="G43" s="56"/>
      <c r="H43" s="58"/>
    </row>
    <row r="44" spans="2:8" x14ac:dyDescent="0.2">
      <c r="B44" s="249"/>
      <c r="C44" s="252"/>
      <c r="D44" s="252"/>
      <c r="E44" s="252"/>
      <c r="F44" s="65"/>
      <c r="G44" s="59"/>
      <c r="H44" s="60"/>
    </row>
    <row r="45" spans="2:8" ht="17" thickBot="1" x14ac:dyDescent="0.25">
      <c r="B45" s="250"/>
      <c r="C45" s="253"/>
      <c r="D45" s="253"/>
      <c r="E45" s="253"/>
      <c r="F45" s="66"/>
      <c r="G45" s="61"/>
      <c r="H45" s="62"/>
    </row>
    <row r="46" spans="2:8" x14ac:dyDescent="0.2">
      <c r="B46" s="248"/>
      <c r="C46" s="251"/>
      <c r="D46" s="251"/>
      <c r="E46" s="251"/>
      <c r="F46" s="64"/>
      <c r="G46" s="56"/>
      <c r="H46" s="58"/>
    </row>
    <row r="47" spans="2:8" x14ac:dyDescent="0.2">
      <c r="B47" s="249"/>
      <c r="C47" s="252"/>
      <c r="D47" s="252"/>
      <c r="E47" s="252"/>
      <c r="F47" s="65"/>
      <c r="G47" s="59"/>
      <c r="H47" s="60"/>
    </row>
    <row r="48" spans="2:8" ht="17" thickBot="1" x14ac:dyDescent="0.25">
      <c r="B48" s="250"/>
      <c r="C48" s="253"/>
      <c r="D48" s="253"/>
      <c r="E48" s="253"/>
      <c r="F48" s="66"/>
      <c r="G48" s="61"/>
      <c r="H48" s="62"/>
    </row>
    <row r="49" spans="2:8" x14ac:dyDescent="0.2">
      <c r="B49" s="248"/>
      <c r="C49" s="251"/>
      <c r="D49" s="251"/>
      <c r="E49" s="251"/>
      <c r="F49" s="64"/>
      <c r="G49" s="56"/>
      <c r="H49" s="58"/>
    </row>
    <row r="50" spans="2:8" x14ac:dyDescent="0.2">
      <c r="B50" s="249"/>
      <c r="C50" s="252"/>
      <c r="D50" s="252"/>
      <c r="E50" s="252"/>
      <c r="F50" s="65"/>
      <c r="G50" s="59"/>
      <c r="H50" s="60"/>
    </row>
    <row r="51" spans="2:8" ht="17" thickBot="1" x14ac:dyDescent="0.25">
      <c r="B51" s="250"/>
      <c r="C51" s="253"/>
      <c r="D51" s="253"/>
      <c r="E51" s="253"/>
      <c r="F51" s="66"/>
      <c r="G51" s="61"/>
      <c r="H51" s="62"/>
    </row>
    <row r="52" spans="2:8" x14ac:dyDescent="0.2">
      <c r="B52" s="248"/>
      <c r="C52" s="251"/>
      <c r="D52" s="251"/>
      <c r="E52" s="251"/>
      <c r="F52" s="64"/>
      <c r="G52" s="56"/>
      <c r="H52" s="58"/>
    </row>
    <row r="53" spans="2:8" x14ac:dyDescent="0.2">
      <c r="B53" s="249"/>
      <c r="C53" s="252"/>
      <c r="D53" s="252"/>
      <c r="E53" s="252"/>
      <c r="F53" s="65"/>
      <c r="G53" s="59"/>
      <c r="H53" s="60"/>
    </row>
    <row r="54" spans="2:8" ht="17" thickBot="1" x14ac:dyDescent="0.25">
      <c r="B54" s="250"/>
      <c r="C54" s="253"/>
      <c r="D54" s="253"/>
      <c r="E54" s="253"/>
      <c r="F54" s="66"/>
      <c r="G54" s="61"/>
      <c r="H54" s="62"/>
    </row>
    <row r="55" spans="2:8" x14ac:dyDescent="0.2">
      <c r="B55" s="248"/>
      <c r="C55" s="251"/>
      <c r="D55" s="251"/>
      <c r="E55" s="251"/>
      <c r="F55" s="64"/>
      <c r="G55" s="56"/>
      <c r="H55" s="58"/>
    </row>
    <row r="56" spans="2:8" x14ac:dyDescent="0.2">
      <c r="B56" s="249"/>
      <c r="C56" s="252"/>
      <c r="D56" s="252"/>
      <c r="E56" s="252"/>
      <c r="F56" s="65"/>
      <c r="G56" s="59"/>
      <c r="H56" s="60"/>
    </row>
    <row r="57" spans="2:8" ht="17" thickBot="1" x14ac:dyDescent="0.25">
      <c r="B57" s="250"/>
      <c r="C57" s="253"/>
      <c r="D57" s="253"/>
      <c r="E57" s="253"/>
      <c r="F57" s="66"/>
      <c r="G57" s="61"/>
      <c r="H57" s="62"/>
    </row>
    <row r="58" spans="2:8" x14ac:dyDescent="0.2">
      <c r="B58" s="248"/>
      <c r="C58" s="251"/>
      <c r="D58" s="251"/>
      <c r="E58" s="251"/>
      <c r="F58" s="64"/>
      <c r="G58" s="56"/>
      <c r="H58" s="58"/>
    </row>
    <row r="59" spans="2:8" x14ac:dyDescent="0.2">
      <c r="B59" s="249"/>
      <c r="C59" s="252"/>
      <c r="D59" s="252"/>
      <c r="E59" s="252"/>
      <c r="F59" s="65"/>
      <c r="G59" s="59"/>
      <c r="H59" s="60"/>
    </row>
    <row r="60" spans="2:8" ht="17" thickBot="1" x14ac:dyDescent="0.25">
      <c r="B60" s="250"/>
      <c r="C60" s="253"/>
      <c r="D60" s="253"/>
      <c r="E60" s="253"/>
      <c r="F60" s="66"/>
      <c r="G60" s="61"/>
      <c r="H60" s="62"/>
    </row>
    <row r="61" spans="2:8" x14ac:dyDescent="0.2">
      <c r="B61" s="248"/>
      <c r="C61" s="251"/>
      <c r="D61" s="251"/>
      <c r="E61" s="251"/>
      <c r="F61" s="64"/>
      <c r="G61" s="56"/>
      <c r="H61" s="58"/>
    </row>
    <row r="62" spans="2:8" x14ac:dyDescent="0.2">
      <c r="B62" s="249"/>
      <c r="C62" s="252"/>
      <c r="D62" s="252"/>
      <c r="E62" s="252"/>
      <c r="F62" s="65"/>
      <c r="G62" s="59"/>
      <c r="H62" s="60"/>
    </row>
    <row r="63" spans="2:8" ht="17" thickBot="1" x14ac:dyDescent="0.25">
      <c r="B63" s="250"/>
      <c r="C63" s="253"/>
      <c r="D63" s="253"/>
      <c r="E63" s="253"/>
      <c r="F63" s="66"/>
      <c r="G63" s="61"/>
      <c r="H63" s="62"/>
    </row>
  </sheetData>
  <mergeCells count="81">
    <mergeCell ref="B58:B60"/>
    <mergeCell ref="C58:C60"/>
    <mergeCell ref="D58:D60"/>
    <mergeCell ref="E58:E60"/>
    <mergeCell ref="B61:B63"/>
    <mergeCell ref="C61:C63"/>
    <mergeCell ref="D61:D63"/>
    <mergeCell ref="E61:E63"/>
    <mergeCell ref="B52:B54"/>
    <mergeCell ref="C52:C54"/>
    <mergeCell ref="D52:D54"/>
    <mergeCell ref="E52:E54"/>
    <mergeCell ref="B55:B57"/>
    <mergeCell ref="C55:C57"/>
    <mergeCell ref="D55:D57"/>
    <mergeCell ref="E55:E57"/>
    <mergeCell ref="B46:B48"/>
    <mergeCell ref="C46:C48"/>
    <mergeCell ref="D46:D48"/>
    <mergeCell ref="E46:E48"/>
    <mergeCell ref="B49:B51"/>
    <mergeCell ref="C49:C51"/>
    <mergeCell ref="D49:D51"/>
    <mergeCell ref="E49:E51"/>
    <mergeCell ref="B40:B42"/>
    <mergeCell ref="C40:C42"/>
    <mergeCell ref="D40:D42"/>
    <mergeCell ref="E40:E42"/>
    <mergeCell ref="B43:B45"/>
    <mergeCell ref="C43:C45"/>
    <mergeCell ref="D43:D45"/>
    <mergeCell ref="E43:E45"/>
    <mergeCell ref="B34:B36"/>
    <mergeCell ref="C34:C36"/>
    <mergeCell ref="D34:D36"/>
    <mergeCell ref="E34:E36"/>
    <mergeCell ref="B37:B39"/>
    <mergeCell ref="C37:C39"/>
    <mergeCell ref="D37:D39"/>
    <mergeCell ref="E37:E39"/>
    <mergeCell ref="C31:C33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C16:C18"/>
    <mergeCell ref="C19:C21"/>
    <mergeCell ref="C22:C24"/>
    <mergeCell ref="C25:C27"/>
    <mergeCell ref="C28:C30"/>
    <mergeCell ref="E22:E24"/>
    <mergeCell ref="E25:E27"/>
    <mergeCell ref="E28:E30"/>
    <mergeCell ref="E31:E33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C7:C9"/>
    <mergeCell ref="C10:C12"/>
    <mergeCell ref="C13:C15"/>
    <mergeCell ref="E7:E9"/>
    <mergeCell ref="E10:E12"/>
    <mergeCell ref="E13:E15"/>
    <mergeCell ref="E16:E18"/>
    <mergeCell ref="E19:E21"/>
    <mergeCell ref="C2:H2"/>
    <mergeCell ref="B4:B6"/>
    <mergeCell ref="C4:C6"/>
    <mergeCell ref="D4:D6"/>
    <mergeCell ref="E4:E6"/>
  </mergeCells>
  <conditionalFormatting sqref="E4:E63">
    <cfRule type="containsText" dxfId="6" priority="3" operator="containsText" text="Feito">
      <formula>NOT(ISERROR(SEARCH("Feito",E4)))</formula>
    </cfRule>
    <cfRule type="containsText" dxfId="5" priority="4" operator="containsText" text="A fazer">
      <formula>NOT(ISERROR(SEARCH("A fazer",E4)))</formula>
    </cfRule>
  </conditionalFormatting>
  <conditionalFormatting sqref="H4:H63">
    <cfRule type="containsText" dxfId="4" priority="1" operator="containsText" text="A fazer">
      <formula>NOT(ISERROR(SEARCH("A fazer",H4)))</formula>
    </cfRule>
    <cfRule type="containsText" dxfId="3" priority="2" operator="containsText" text="Feito">
      <formula>NOT(ISERROR(SEARCH("Feito",H4)))</formula>
    </cfRule>
  </conditionalFormatting>
  <dataValidations count="1">
    <dataValidation type="list" allowBlank="1" showInputMessage="1" showErrorMessage="1" sqref="J4:J5 E4:E63 H4:H63" xr:uid="{5F0147B6-6AB0-AD43-8CB5-9C5A564C6A87}">
      <formula1>$J$4:$J$5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6307-5290-544D-B9CA-F6F584968E2D}">
  <sheetPr>
    <tabColor theme="5"/>
  </sheetPr>
  <dimension ref="B2:M36"/>
  <sheetViews>
    <sheetView workbookViewId="0">
      <selection activeCell="S20" sqref="S20"/>
    </sheetView>
  </sheetViews>
  <sheetFormatPr baseColWidth="10" defaultRowHeight="16" x14ac:dyDescent="0.2"/>
  <cols>
    <col min="1" max="1" width="4.1640625" style="1" customWidth="1"/>
    <col min="2" max="16384" width="10.83203125" style="1"/>
  </cols>
  <sheetData>
    <row r="2" spans="2:13" ht="135" customHeight="1" thickBot="1" x14ac:dyDescent="0.25"/>
    <row r="3" spans="2:13" ht="17" thickBot="1" x14ac:dyDescent="0.25">
      <c r="B3" s="263" t="s">
        <v>132</v>
      </c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5"/>
    </row>
    <row r="4" spans="2:13" x14ac:dyDescent="0.2">
      <c r="B4" s="266" t="s">
        <v>135</v>
      </c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8"/>
    </row>
    <row r="5" spans="2:13" x14ac:dyDescent="0.2">
      <c r="B5" s="69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 spans="2:13" x14ac:dyDescent="0.2">
      <c r="B6" s="69" t="s">
        <v>137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x14ac:dyDescent="0.2">
      <c r="B7" s="69" t="s">
        <v>136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2:13" x14ac:dyDescent="0.2">
      <c r="B8" s="69" t="s">
        <v>138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1"/>
    </row>
    <row r="9" spans="2:13" x14ac:dyDescent="0.2"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1"/>
    </row>
    <row r="10" spans="2:13" x14ac:dyDescent="0.2">
      <c r="B10" s="69" t="s">
        <v>139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1"/>
    </row>
    <row r="11" spans="2:13" x14ac:dyDescent="0.2">
      <c r="B11" s="69" t="s">
        <v>140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1"/>
    </row>
    <row r="12" spans="2:13" x14ac:dyDescent="0.2">
      <c r="B12" s="69" t="s">
        <v>141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1"/>
    </row>
    <row r="13" spans="2:13" x14ac:dyDescent="0.2">
      <c r="B13" s="69" t="s">
        <v>142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1"/>
    </row>
    <row r="14" spans="2:13" x14ac:dyDescent="0.2">
      <c r="B14" s="69" t="s">
        <v>144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1"/>
    </row>
    <row r="15" spans="2:13" x14ac:dyDescent="0.2">
      <c r="B15" s="69" t="s">
        <v>143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1"/>
    </row>
    <row r="16" spans="2:13" ht="17" thickBot="1" x14ac:dyDescent="0.25">
      <c r="B16" s="72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</row>
    <row r="17" spans="2:13" ht="17" thickBot="1" x14ac:dyDescent="0.25"/>
    <row r="18" spans="2:13" ht="17" thickBot="1" x14ac:dyDescent="0.25">
      <c r="B18" s="260" t="s">
        <v>133</v>
      </c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2"/>
    </row>
    <row r="19" spans="2:13" x14ac:dyDescent="0.2">
      <c r="B19" s="67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68"/>
    </row>
    <row r="20" spans="2:13" x14ac:dyDescent="0.2">
      <c r="B20" s="75" t="s">
        <v>145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1"/>
    </row>
    <row r="21" spans="2:13" ht="16" customHeight="1" x14ac:dyDescent="0.2">
      <c r="B21" s="269" t="s">
        <v>146</v>
      </c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1"/>
    </row>
    <row r="22" spans="2:13" x14ac:dyDescent="0.2">
      <c r="B22" s="269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1"/>
    </row>
    <row r="23" spans="2:13" x14ac:dyDescent="0.2">
      <c r="B23" s="269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1"/>
    </row>
    <row r="24" spans="2:13" x14ac:dyDescent="0.2">
      <c r="B24" s="269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1"/>
    </row>
    <row r="25" spans="2:13" x14ac:dyDescent="0.2">
      <c r="B25" s="269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1"/>
    </row>
    <row r="26" spans="2:13" x14ac:dyDescent="0.2">
      <c r="B26" s="76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1"/>
    </row>
    <row r="27" spans="2:13" x14ac:dyDescent="0.2">
      <c r="B27" s="77" t="s">
        <v>147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1"/>
    </row>
    <row r="28" spans="2:13" x14ac:dyDescent="0.2">
      <c r="B28" s="254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6"/>
    </row>
    <row r="29" spans="2:13" x14ac:dyDescent="0.2">
      <c r="B29" s="254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6"/>
    </row>
    <row r="30" spans="2:13" x14ac:dyDescent="0.2">
      <c r="B30" s="254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6"/>
    </row>
    <row r="31" spans="2:13" x14ac:dyDescent="0.2">
      <c r="B31" s="254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6"/>
    </row>
    <row r="32" spans="2:13" x14ac:dyDescent="0.2">
      <c r="B32" s="254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6"/>
    </row>
    <row r="33" spans="2:13" x14ac:dyDescent="0.2">
      <c r="B33" s="254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6"/>
    </row>
    <row r="34" spans="2:13" x14ac:dyDescent="0.2">
      <c r="B34" s="254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6"/>
    </row>
    <row r="35" spans="2:13" x14ac:dyDescent="0.2">
      <c r="B35" s="254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6"/>
    </row>
    <row r="36" spans="2:13" ht="17" thickBot="1" x14ac:dyDescent="0.25">
      <c r="B36" s="257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9"/>
    </row>
  </sheetData>
  <mergeCells count="5">
    <mergeCell ref="B28:M36"/>
    <mergeCell ref="B18:M18"/>
    <mergeCell ref="B3:M3"/>
    <mergeCell ref="B4:M4"/>
    <mergeCell ref="B21:M25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EAD9-18CB-CF45-B67A-AC1F951024F9}">
  <sheetPr>
    <tabColor theme="9"/>
  </sheetPr>
  <dimension ref="B1:C97"/>
  <sheetViews>
    <sheetView topLeftCell="A3" workbookViewId="0">
      <selection activeCell="D1" sqref="D1"/>
    </sheetView>
  </sheetViews>
  <sheetFormatPr baseColWidth="10" defaultRowHeight="16" x14ac:dyDescent="0.2"/>
  <cols>
    <col min="1" max="1" width="5" style="1" customWidth="1"/>
    <col min="2" max="2" width="29.5" style="1" customWidth="1"/>
    <col min="3" max="3" width="107.6640625" style="1" customWidth="1"/>
    <col min="4" max="4" width="61.5" style="1" customWidth="1"/>
    <col min="5" max="16384" width="10.83203125" style="1"/>
  </cols>
  <sheetData>
    <row r="1" spans="2:3" ht="204" customHeight="1" thickBot="1" x14ac:dyDescent="0.25">
      <c r="B1" s="79"/>
      <c r="C1" s="78" t="s">
        <v>149</v>
      </c>
    </row>
    <row r="2" spans="2:3" x14ac:dyDescent="0.2">
      <c r="B2" s="275" t="s">
        <v>134</v>
      </c>
      <c r="C2" s="276"/>
    </row>
    <row r="4" spans="2:3" x14ac:dyDescent="0.2">
      <c r="B4" s="272" t="s">
        <v>172</v>
      </c>
      <c r="C4" s="272"/>
    </row>
    <row r="5" spans="2:3" x14ac:dyDescent="0.2">
      <c r="B5" s="50" t="s">
        <v>151</v>
      </c>
      <c r="C5" s="46"/>
    </row>
    <row r="6" spans="2:3" x14ac:dyDescent="0.2">
      <c r="B6" s="50" t="s">
        <v>165</v>
      </c>
      <c r="C6" s="46"/>
    </row>
    <row r="7" spans="2:3" x14ac:dyDescent="0.2">
      <c r="B7" s="50" t="s">
        <v>153</v>
      </c>
      <c r="C7" s="46"/>
    </row>
    <row r="8" spans="2:3" x14ac:dyDescent="0.2">
      <c r="B8" s="50" t="s">
        <v>152</v>
      </c>
      <c r="C8" s="46"/>
    </row>
    <row r="9" spans="2:3" x14ac:dyDescent="0.2">
      <c r="B9" s="50" t="s">
        <v>180</v>
      </c>
      <c r="C9" s="46"/>
    </row>
    <row r="10" spans="2:3" x14ac:dyDescent="0.2">
      <c r="B10" s="50" t="s">
        <v>148</v>
      </c>
      <c r="C10" s="46"/>
    </row>
    <row r="11" spans="2:3" x14ac:dyDescent="0.2">
      <c r="B11" s="50" t="s">
        <v>173</v>
      </c>
      <c r="C11" s="46"/>
    </row>
    <row r="12" spans="2:3" x14ac:dyDescent="0.2">
      <c r="B12" s="50" t="s">
        <v>174</v>
      </c>
      <c r="C12" s="46"/>
    </row>
    <row r="13" spans="2:3" x14ac:dyDescent="0.2">
      <c r="B13" s="50" t="s">
        <v>175</v>
      </c>
      <c r="C13" s="46"/>
    </row>
    <row r="14" spans="2:3" x14ac:dyDescent="0.2">
      <c r="B14" s="50" t="s">
        <v>155</v>
      </c>
      <c r="C14" s="46"/>
    </row>
    <row r="15" spans="2:3" x14ac:dyDescent="0.2">
      <c r="B15" s="50" t="s">
        <v>154</v>
      </c>
      <c r="C15" s="46"/>
    </row>
    <row r="16" spans="2:3" x14ac:dyDescent="0.2">
      <c r="B16" s="50" t="s">
        <v>176</v>
      </c>
      <c r="C16" s="46"/>
    </row>
    <row r="17" spans="2:3" x14ac:dyDescent="0.2">
      <c r="B17" s="50" t="s">
        <v>177</v>
      </c>
      <c r="C17" s="46"/>
    </row>
    <row r="18" spans="2:3" x14ac:dyDescent="0.2">
      <c r="B18" s="50" t="s">
        <v>178</v>
      </c>
      <c r="C18" s="46"/>
    </row>
    <row r="19" spans="2:3" x14ac:dyDescent="0.2">
      <c r="B19" s="50" t="s">
        <v>179</v>
      </c>
      <c r="C19" s="46"/>
    </row>
    <row r="20" spans="2:3" x14ac:dyDescent="0.2">
      <c r="B20" s="50" t="s">
        <v>186</v>
      </c>
      <c r="C20" s="46"/>
    </row>
    <row r="21" spans="2:3" x14ac:dyDescent="0.2">
      <c r="B21" s="50" t="s">
        <v>183</v>
      </c>
      <c r="C21" s="46"/>
    </row>
    <row r="22" spans="2:3" x14ac:dyDescent="0.2">
      <c r="B22" s="50" t="s">
        <v>197</v>
      </c>
      <c r="C22" s="46"/>
    </row>
    <row r="23" spans="2:3" x14ac:dyDescent="0.2">
      <c r="B23" s="50" t="s">
        <v>184</v>
      </c>
      <c r="C23" s="46"/>
    </row>
    <row r="24" spans="2:3" x14ac:dyDescent="0.2">
      <c r="B24" s="50" t="s">
        <v>181</v>
      </c>
      <c r="C24" s="46"/>
    </row>
    <row r="25" spans="2:3" x14ac:dyDescent="0.2">
      <c r="B25" s="50" t="s">
        <v>182</v>
      </c>
      <c r="C25" s="46"/>
    </row>
    <row r="26" spans="2:3" x14ac:dyDescent="0.2">
      <c r="B26" s="50" t="s">
        <v>187</v>
      </c>
      <c r="C26" s="46"/>
    </row>
    <row r="27" spans="2:3" x14ac:dyDescent="0.2">
      <c r="B27" s="50" t="s">
        <v>188</v>
      </c>
      <c r="C27" s="46"/>
    </row>
    <row r="28" spans="2:3" x14ac:dyDescent="0.2">
      <c r="B28" s="50" t="s">
        <v>189</v>
      </c>
      <c r="C28" s="46"/>
    </row>
    <row r="29" spans="2:3" x14ac:dyDescent="0.2">
      <c r="B29" s="50" t="s">
        <v>190</v>
      </c>
      <c r="C29" s="46"/>
    </row>
    <row r="30" spans="2:3" x14ac:dyDescent="0.2">
      <c r="B30" s="50" t="s">
        <v>191</v>
      </c>
      <c r="C30" s="46"/>
    </row>
    <row r="31" spans="2:3" x14ac:dyDescent="0.2">
      <c r="B31" s="50" t="s">
        <v>192</v>
      </c>
      <c r="C31" s="46"/>
    </row>
    <row r="32" spans="2:3" x14ac:dyDescent="0.2">
      <c r="B32" s="50" t="s">
        <v>193</v>
      </c>
      <c r="C32" s="46"/>
    </row>
    <row r="33" spans="2:3" x14ac:dyDescent="0.2">
      <c r="B33" s="50" t="s">
        <v>194</v>
      </c>
      <c r="C33" s="46"/>
    </row>
    <row r="34" spans="2:3" x14ac:dyDescent="0.2">
      <c r="B34" s="50" t="s">
        <v>203</v>
      </c>
      <c r="C34" s="46"/>
    </row>
    <row r="35" spans="2:3" x14ac:dyDescent="0.2">
      <c r="B35" s="50" t="s">
        <v>171</v>
      </c>
      <c r="C35" s="46"/>
    </row>
    <row r="36" spans="2:3" x14ac:dyDescent="0.2">
      <c r="B36" s="50" t="s">
        <v>204</v>
      </c>
      <c r="C36" s="46"/>
    </row>
    <row r="37" spans="2:3" x14ac:dyDescent="0.2">
      <c r="B37" s="50" t="s">
        <v>205</v>
      </c>
      <c r="C37" s="46"/>
    </row>
    <row r="38" spans="2:3" x14ac:dyDescent="0.2">
      <c r="B38" s="50" t="s">
        <v>206</v>
      </c>
      <c r="C38" s="46"/>
    </row>
    <row r="39" spans="2:3" x14ac:dyDescent="0.2">
      <c r="B39" s="50" t="s">
        <v>209</v>
      </c>
      <c r="C39" s="46"/>
    </row>
    <row r="40" spans="2:3" x14ac:dyDescent="0.2">
      <c r="B40" s="50" t="s">
        <v>210</v>
      </c>
      <c r="C40" s="46"/>
    </row>
    <row r="41" spans="2:3" x14ac:dyDescent="0.2">
      <c r="B41" s="50" t="s">
        <v>163</v>
      </c>
      <c r="C41" s="46"/>
    </row>
    <row r="42" spans="2:3" x14ac:dyDescent="0.2">
      <c r="B42" s="50" t="s">
        <v>164</v>
      </c>
      <c r="C42" s="46"/>
    </row>
    <row r="43" spans="2:3" x14ac:dyDescent="0.2">
      <c r="B43" s="50" t="s">
        <v>166</v>
      </c>
      <c r="C43" s="46"/>
    </row>
    <row r="44" spans="2:3" x14ac:dyDescent="0.2">
      <c r="B44" s="50" t="s">
        <v>231</v>
      </c>
      <c r="C44" s="46"/>
    </row>
    <row r="45" spans="2:3" x14ac:dyDescent="0.2">
      <c r="B45" s="50" t="s">
        <v>169</v>
      </c>
      <c r="C45" s="46"/>
    </row>
    <row r="46" spans="2:3" x14ac:dyDescent="0.2">
      <c r="B46" s="50" t="s">
        <v>170</v>
      </c>
      <c r="C46" s="46"/>
    </row>
    <row r="47" spans="2:3" x14ac:dyDescent="0.2">
      <c r="B47" s="50"/>
      <c r="C47" s="46"/>
    </row>
    <row r="48" spans="2:3" x14ac:dyDescent="0.2">
      <c r="B48" s="273" t="s">
        <v>185</v>
      </c>
      <c r="C48" s="274"/>
    </row>
    <row r="49" spans="2:3" x14ac:dyDescent="0.2">
      <c r="B49" s="50" t="s">
        <v>195</v>
      </c>
      <c r="C49" s="46"/>
    </row>
    <row r="50" spans="2:3" x14ac:dyDescent="0.2">
      <c r="B50" s="50" t="s">
        <v>196</v>
      </c>
      <c r="C50" s="46"/>
    </row>
    <row r="51" spans="2:3" x14ac:dyDescent="0.2">
      <c r="B51" s="50" t="s">
        <v>198</v>
      </c>
      <c r="C51" s="46"/>
    </row>
    <row r="52" spans="2:3" x14ac:dyDescent="0.2">
      <c r="B52" s="50" t="s">
        <v>199</v>
      </c>
      <c r="C52" s="46"/>
    </row>
    <row r="53" spans="2:3" x14ac:dyDescent="0.2">
      <c r="B53" s="50" t="s">
        <v>226</v>
      </c>
      <c r="C53" s="46"/>
    </row>
    <row r="54" spans="2:3" x14ac:dyDescent="0.2">
      <c r="B54" s="50" t="s">
        <v>200</v>
      </c>
      <c r="C54" s="46"/>
    </row>
    <row r="55" spans="2:3" x14ac:dyDescent="0.2">
      <c r="B55" s="50" t="s">
        <v>201</v>
      </c>
      <c r="C55" s="46"/>
    </row>
    <row r="56" spans="2:3" x14ac:dyDescent="0.2">
      <c r="B56" s="50" t="s">
        <v>202</v>
      </c>
      <c r="C56" s="46"/>
    </row>
    <row r="57" spans="2:3" x14ac:dyDescent="0.2">
      <c r="B57" s="50" t="s">
        <v>156</v>
      </c>
      <c r="C57" s="46"/>
    </row>
    <row r="58" spans="2:3" x14ac:dyDescent="0.2">
      <c r="B58" s="50" t="s">
        <v>160</v>
      </c>
      <c r="C58" s="46"/>
    </row>
    <row r="59" spans="2:3" x14ac:dyDescent="0.2">
      <c r="B59" s="50" t="s">
        <v>168</v>
      </c>
      <c r="C59" s="46"/>
    </row>
    <row r="60" spans="2:3" x14ac:dyDescent="0.2">
      <c r="B60" s="50" t="s">
        <v>227</v>
      </c>
      <c r="C60" s="46"/>
    </row>
    <row r="61" spans="2:3" x14ac:dyDescent="0.2">
      <c r="B61" s="50" t="s">
        <v>229</v>
      </c>
      <c r="C61" s="46"/>
    </row>
    <row r="62" spans="2:3" x14ac:dyDescent="0.2">
      <c r="B62" s="50"/>
      <c r="C62" s="46"/>
    </row>
    <row r="63" spans="2:3" x14ac:dyDescent="0.2">
      <c r="B63" s="50"/>
      <c r="C63" s="46"/>
    </row>
    <row r="64" spans="2:3" x14ac:dyDescent="0.2">
      <c r="B64" s="273" t="s">
        <v>207</v>
      </c>
      <c r="C64" s="274"/>
    </row>
    <row r="65" spans="2:3" x14ac:dyDescent="0.2">
      <c r="B65" s="156" t="s">
        <v>222</v>
      </c>
      <c r="C65" s="157"/>
    </row>
    <row r="66" spans="2:3" x14ac:dyDescent="0.2">
      <c r="B66" s="156" t="s">
        <v>221</v>
      </c>
      <c r="C66" s="157"/>
    </row>
    <row r="67" spans="2:3" x14ac:dyDescent="0.2">
      <c r="B67" s="50" t="s">
        <v>228</v>
      </c>
      <c r="C67" s="46"/>
    </row>
    <row r="68" spans="2:3" x14ac:dyDescent="0.2">
      <c r="B68" s="156" t="s">
        <v>223</v>
      </c>
      <c r="C68" s="157"/>
    </row>
    <row r="69" spans="2:3" x14ac:dyDescent="0.2">
      <c r="B69" s="156" t="s">
        <v>215</v>
      </c>
      <c r="C69" s="157"/>
    </row>
    <row r="70" spans="2:3" x14ac:dyDescent="0.2">
      <c r="B70" s="156" t="s">
        <v>216</v>
      </c>
      <c r="C70" s="157"/>
    </row>
    <row r="71" spans="2:3" x14ac:dyDescent="0.2">
      <c r="B71" s="156" t="s">
        <v>217</v>
      </c>
      <c r="C71" s="157"/>
    </row>
    <row r="72" spans="2:3" x14ac:dyDescent="0.2">
      <c r="B72" s="156" t="s">
        <v>212</v>
      </c>
      <c r="C72" s="157"/>
    </row>
    <row r="73" spans="2:3" x14ac:dyDescent="0.2">
      <c r="B73" s="156" t="s">
        <v>213</v>
      </c>
      <c r="C73" s="157"/>
    </row>
    <row r="74" spans="2:3" x14ac:dyDescent="0.2">
      <c r="B74" s="156" t="s">
        <v>214</v>
      </c>
      <c r="C74" s="157"/>
    </row>
    <row r="75" spans="2:3" x14ac:dyDescent="0.2">
      <c r="B75" s="156" t="s">
        <v>218</v>
      </c>
      <c r="C75" s="157"/>
    </row>
    <row r="76" spans="2:3" x14ac:dyDescent="0.2">
      <c r="B76" s="156" t="s">
        <v>208</v>
      </c>
      <c r="C76" s="157"/>
    </row>
    <row r="77" spans="2:3" x14ac:dyDescent="0.2">
      <c r="B77" s="156" t="s">
        <v>219</v>
      </c>
      <c r="C77" s="157"/>
    </row>
    <row r="78" spans="2:3" x14ac:dyDescent="0.2">
      <c r="B78" s="156" t="s">
        <v>150</v>
      </c>
      <c r="C78" s="157"/>
    </row>
    <row r="79" spans="2:3" x14ac:dyDescent="0.2">
      <c r="B79" s="156" t="s">
        <v>220</v>
      </c>
      <c r="C79" s="157"/>
    </row>
    <row r="80" spans="2:3" x14ac:dyDescent="0.2">
      <c r="B80" s="156" t="s">
        <v>211</v>
      </c>
      <c r="C80" s="157"/>
    </row>
    <row r="81" spans="2:3" x14ac:dyDescent="0.2">
      <c r="B81" s="156" t="s">
        <v>156</v>
      </c>
      <c r="C81" s="157"/>
    </row>
    <row r="82" spans="2:3" x14ac:dyDescent="0.2">
      <c r="B82" s="156" t="s">
        <v>157</v>
      </c>
      <c r="C82" s="157"/>
    </row>
    <row r="83" spans="2:3" x14ac:dyDescent="0.2">
      <c r="B83" s="156" t="s">
        <v>158</v>
      </c>
      <c r="C83" s="157"/>
    </row>
    <row r="84" spans="2:3" x14ac:dyDescent="0.2">
      <c r="B84" s="156" t="s">
        <v>159</v>
      </c>
      <c r="C84" s="157"/>
    </row>
    <row r="85" spans="2:3" x14ac:dyDescent="0.2">
      <c r="B85" s="156" t="s">
        <v>167</v>
      </c>
      <c r="C85" s="157"/>
    </row>
    <row r="86" spans="2:3" x14ac:dyDescent="0.2">
      <c r="B86" s="156" t="s">
        <v>224</v>
      </c>
      <c r="C86" s="157"/>
    </row>
    <row r="87" spans="2:3" x14ac:dyDescent="0.2">
      <c r="B87" s="156" t="s">
        <v>225</v>
      </c>
      <c r="C87" s="157"/>
    </row>
    <row r="88" spans="2:3" x14ac:dyDescent="0.2">
      <c r="B88" s="50" t="s">
        <v>232</v>
      </c>
      <c r="C88" s="46"/>
    </row>
    <row r="89" spans="2:3" x14ac:dyDescent="0.2">
      <c r="B89" s="156" t="s">
        <v>161</v>
      </c>
      <c r="C89" s="157"/>
    </row>
    <row r="90" spans="2:3" x14ac:dyDescent="0.2">
      <c r="B90" s="156" t="s">
        <v>162</v>
      </c>
      <c r="C90" s="157"/>
    </row>
    <row r="91" spans="2:3" x14ac:dyDescent="0.2">
      <c r="B91" s="156"/>
      <c r="C91" s="157"/>
    </row>
    <row r="92" spans="2:3" x14ac:dyDescent="0.2">
      <c r="B92" s="273" t="s">
        <v>230</v>
      </c>
      <c r="C92" s="274"/>
    </row>
    <row r="93" spans="2:3" x14ac:dyDescent="0.2">
      <c r="B93" s="156" t="s">
        <v>240</v>
      </c>
      <c r="C93" s="157"/>
    </row>
    <row r="94" spans="2:3" x14ac:dyDescent="0.2">
      <c r="B94" s="156" t="s">
        <v>241</v>
      </c>
      <c r="C94" s="157"/>
    </row>
    <row r="95" spans="2:3" x14ac:dyDescent="0.2">
      <c r="B95" s="156" t="s">
        <v>242</v>
      </c>
      <c r="C95" s="157"/>
    </row>
    <row r="96" spans="2:3" x14ac:dyDescent="0.2">
      <c r="B96" s="156"/>
      <c r="C96" s="157"/>
    </row>
    <row r="97" spans="2:3" x14ac:dyDescent="0.2">
      <c r="B97" s="156"/>
      <c r="C97" s="157"/>
    </row>
  </sheetData>
  <mergeCells count="35">
    <mergeCell ref="B2:C2"/>
    <mergeCell ref="B89:C89"/>
    <mergeCell ref="B90:C90"/>
    <mergeCell ref="B91:C91"/>
    <mergeCell ref="B73:C73"/>
    <mergeCell ref="B77:C77"/>
    <mergeCell ref="B74:C74"/>
    <mergeCell ref="B78:C78"/>
    <mergeCell ref="B80:C80"/>
    <mergeCell ref="B83:C83"/>
    <mergeCell ref="B84:C84"/>
    <mergeCell ref="B85:C85"/>
    <mergeCell ref="B86:C86"/>
    <mergeCell ref="B87:C87"/>
    <mergeCell ref="B96:C96"/>
    <mergeCell ref="B97:C97"/>
    <mergeCell ref="B92:C92"/>
    <mergeCell ref="B94:C94"/>
    <mergeCell ref="B93:C93"/>
    <mergeCell ref="B95:C95"/>
    <mergeCell ref="B82:C82"/>
    <mergeCell ref="B4:C4"/>
    <mergeCell ref="B48:C48"/>
    <mergeCell ref="B66:C66"/>
    <mergeCell ref="B70:C70"/>
    <mergeCell ref="B68:C68"/>
    <mergeCell ref="B69:C69"/>
    <mergeCell ref="B65:C65"/>
    <mergeCell ref="B64:C64"/>
    <mergeCell ref="B72:C72"/>
    <mergeCell ref="B71:C71"/>
    <mergeCell ref="B75:C75"/>
    <mergeCell ref="B76:C76"/>
    <mergeCell ref="B79:C79"/>
    <mergeCell ref="B81:C8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35A4-C433-8948-AE6C-831D7A4ECC58}">
  <sheetPr>
    <tabColor theme="9"/>
  </sheetPr>
  <dimension ref="B1:P30"/>
  <sheetViews>
    <sheetView zoomScale="150" zoomScaleNormal="150" workbookViewId="0">
      <selection activeCell="Q6" sqref="Q6"/>
    </sheetView>
  </sheetViews>
  <sheetFormatPr baseColWidth="10" defaultRowHeight="16" x14ac:dyDescent="0.2"/>
  <cols>
    <col min="1" max="1" width="3.6640625" style="1" customWidth="1"/>
    <col min="2" max="2" width="10.83203125" style="1" customWidth="1"/>
    <col min="3" max="7" width="10.83203125" style="1"/>
    <col min="8" max="8" width="4.1640625" style="1" customWidth="1"/>
    <col min="9" max="13" width="10.83203125" style="1"/>
    <col min="14" max="14" width="14.33203125" style="1" customWidth="1"/>
    <col min="15" max="15" width="4.83203125" style="1" customWidth="1"/>
    <col min="16" max="16" width="0" style="1" hidden="1" customWidth="1"/>
    <col min="17" max="16384" width="10.83203125" style="1"/>
  </cols>
  <sheetData>
    <row r="1" spans="2:16" ht="17" thickBot="1" x14ac:dyDescent="0.25"/>
    <row r="2" spans="2:16" ht="132" customHeight="1" thickBot="1" x14ac:dyDescent="0.25">
      <c r="B2" s="138"/>
      <c r="C2" s="306"/>
      <c r="D2" s="288" t="s">
        <v>246</v>
      </c>
      <c r="E2" s="289"/>
      <c r="F2" s="289"/>
      <c r="G2" s="290"/>
      <c r="I2" s="282" t="s">
        <v>247</v>
      </c>
      <c r="J2" s="283"/>
      <c r="K2" s="283"/>
      <c r="L2" s="283"/>
      <c r="M2" s="283"/>
      <c r="N2" s="284"/>
    </row>
    <row r="3" spans="2:16" ht="17" thickBot="1" x14ac:dyDescent="0.25">
      <c r="B3" s="304" t="s">
        <v>239</v>
      </c>
      <c r="C3" s="305"/>
      <c r="D3" s="305"/>
      <c r="E3" s="305"/>
      <c r="F3" s="305"/>
      <c r="G3" s="305"/>
      <c r="I3" s="285"/>
      <c r="J3" s="286"/>
      <c r="K3" s="286"/>
      <c r="L3" s="286"/>
      <c r="M3" s="286"/>
      <c r="N3" s="287"/>
    </row>
    <row r="4" spans="2:16" ht="17" thickBot="1" x14ac:dyDescent="0.25"/>
    <row r="5" spans="2:16" x14ac:dyDescent="0.2">
      <c r="B5" s="291" t="s">
        <v>235</v>
      </c>
      <c r="C5" s="292"/>
      <c r="D5" s="292"/>
      <c r="E5" s="292"/>
      <c r="F5" s="292"/>
      <c r="G5" s="293"/>
      <c r="I5" s="291" t="s">
        <v>244</v>
      </c>
      <c r="J5" s="292"/>
      <c r="K5" s="292"/>
      <c r="L5" s="292"/>
      <c r="M5" s="292"/>
      <c r="N5" s="293"/>
      <c r="P5" s="1" t="s">
        <v>248</v>
      </c>
    </row>
    <row r="6" spans="2:16" x14ac:dyDescent="0.2">
      <c r="B6" s="82"/>
      <c r="C6" s="81"/>
      <c r="D6" s="81"/>
      <c r="E6" s="81"/>
      <c r="F6" s="81"/>
      <c r="G6" s="83"/>
      <c r="I6" s="294" t="s">
        <v>77</v>
      </c>
      <c r="J6" s="295"/>
      <c r="K6" s="295"/>
      <c r="L6" s="295"/>
      <c r="M6" s="295"/>
      <c r="N6" s="83" t="s">
        <v>245</v>
      </c>
      <c r="P6" s="1" t="s">
        <v>249</v>
      </c>
    </row>
    <row r="7" spans="2:16" x14ac:dyDescent="0.2">
      <c r="B7" s="82"/>
      <c r="C7" s="81"/>
      <c r="D7" s="81"/>
      <c r="E7" s="81"/>
      <c r="F7" s="81"/>
      <c r="G7" s="83"/>
      <c r="I7" s="277"/>
      <c r="J7" s="278"/>
      <c r="K7" s="278"/>
      <c r="L7" s="278"/>
      <c r="M7" s="181"/>
      <c r="N7" s="83"/>
      <c r="P7" s="1" t="s">
        <v>250</v>
      </c>
    </row>
    <row r="8" spans="2:16" x14ac:dyDescent="0.2">
      <c r="B8" s="82"/>
      <c r="C8" s="81"/>
      <c r="D8" s="81"/>
      <c r="E8" s="81"/>
      <c r="F8" s="81"/>
      <c r="G8" s="83"/>
      <c r="I8" s="277"/>
      <c r="J8" s="278"/>
      <c r="K8" s="278"/>
      <c r="L8" s="278"/>
      <c r="M8" s="181"/>
      <c r="N8" s="83"/>
      <c r="P8" s="1" t="s">
        <v>251</v>
      </c>
    </row>
    <row r="9" spans="2:16" ht="17" thickBot="1" x14ac:dyDescent="0.25">
      <c r="B9" s="84"/>
      <c r="C9" s="85"/>
      <c r="D9" s="85"/>
      <c r="E9" s="85"/>
      <c r="F9" s="85"/>
      <c r="G9" s="86"/>
      <c r="I9" s="277"/>
      <c r="J9" s="278"/>
      <c r="K9" s="278"/>
      <c r="L9" s="278"/>
      <c r="M9" s="181"/>
      <c r="N9" s="83"/>
      <c r="P9" s="1" t="s">
        <v>252</v>
      </c>
    </row>
    <row r="10" spans="2:16" ht="17" thickBot="1" x14ac:dyDescent="0.25">
      <c r="I10" s="277"/>
      <c r="J10" s="278"/>
      <c r="K10" s="278"/>
      <c r="L10" s="278"/>
      <c r="M10" s="181"/>
      <c r="N10" s="83"/>
    </row>
    <row r="11" spans="2:16" x14ac:dyDescent="0.2">
      <c r="B11" s="309" t="s">
        <v>233</v>
      </c>
      <c r="C11" s="310"/>
      <c r="D11" s="310"/>
      <c r="E11" s="307" t="s">
        <v>237</v>
      </c>
      <c r="F11" s="307"/>
      <c r="G11" s="308"/>
      <c r="I11" s="277"/>
      <c r="J11" s="278"/>
      <c r="K11" s="278"/>
      <c r="L11" s="278"/>
      <c r="M11" s="181"/>
      <c r="N11" s="83"/>
    </row>
    <row r="12" spans="2:16" x14ac:dyDescent="0.2">
      <c r="B12" s="82"/>
      <c r="C12" s="81"/>
      <c r="D12" s="51"/>
      <c r="E12" s="80"/>
      <c r="F12" s="81"/>
      <c r="G12" s="83"/>
      <c r="I12" s="277"/>
      <c r="J12" s="278"/>
      <c r="K12" s="278"/>
      <c r="L12" s="278"/>
      <c r="M12" s="181"/>
      <c r="N12" s="83"/>
    </row>
    <row r="13" spans="2:16" x14ac:dyDescent="0.2">
      <c r="B13" s="82"/>
      <c r="C13" s="81"/>
      <c r="D13" s="51"/>
      <c r="E13" s="80"/>
      <c r="F13" s="81"/>
      <c r="G13" s="83"/>
      <c r="I13" s="277"/>
      <c r="J13" s="278"/>
      <c r="K13" s="278"/>
      <c r="L13" s="278"/>
      <c r="M13" s="181"/>
      <c r="N13" s="83"/>
    </row>
    <row r="14" spans="2:16" x14ac:dyDescent="0.2">
      <c r="B14" s="82"/>
      <c r="C14" s="81"/>
      <c r="D14" s="51"/>
      <c r="E14" s="80"/>
      <c r="F14" s="81"/>
      <c r="G14" s="83"/>
      <c r="I14" s="277"/>
      <c r="J14" s="278"/>
      <c r="K14" s="278"/>
      <c r="L14" s="278"/>
      <c r="M14" s="181"/>
      <c r="N14" s="83"/>
    </row>
    <row r="15" spans="2:16" x14ac:dyDescent="0.2">
      <c r="B15" s="82"/>
      <c r="C15" s="81"/>
      <c r="D15" s="51"/>
      <c r="E15" s="80"/>
      <c r="F15" s="81"/>
      <c r="G15" s="83"/>
      <c r="I15" s="277"/>
      <c r="J15" s="278"/>
      <c r="K15" s="278"/>
      <c r="L15" s="278"/>
      <c r="M15" s="181"/>
      <c r="N15" s="83"/>
    </row>
    <row r="16" spans="2:16" ht="17" thickBot="1" x14ac:dyDescent="0.25">
      <c r="B16" s="84"/>
      <c r="C16" s="85"/>
      <c r="D16" s="87"/>
      <c r="E16" s="88"/>
      <c r="F16" s="85"/>
      <c r="G16" s="86"/>
      <c r="I16" s="277"/>
      <c r="J16" s="278"/>
      <c r="K16" s="278"/>
      <c r="L16" s="278"/>
      <c r="M16" s="181"/>
      <c r="N16" s="83"/>
    </row>
    <row r="17" spans="2:14" ht="17" thickBot="1" x14ac:dyDescent="0.25">
      <c r="I17" s="277"/>
      <c r="J17" s="278"/>
      <c r="K17" s="278"/>
      <c r="L17" s="278"/>
      <c r="M17" s="181"/>
      <c r="N17" s="83"/>
    </row>
    <row r="18" spans="2:14" x14ac:dyDescent="0.2">
      <c r="B18" s="296" t="s">
        <v>234</v>
      </c>
      <c r="C18" s="297"/>
      <c r="D18" s="297"/>
      <c r="E18" s="298" t="s">
        <v>238</v>
      </c>
      <c r="F18" s="298"/>
      <c r="G18" s="299"/>
      <c r="I18" s="277"/>
      <c r="J18" s="278"/>
      <c r="K18" s="278"/>
      <c r="L18" s="278"/>
      <c r="M18" s="181"/>
      <c r="N18" s="83"/>
    </row>
    <row r="19" spans="2:14" x14ac:dyDescent="0.2">
      <c r="B19" s="82"/>
      <c r="C19" s="81"/>
      <c r="D19" s="51"/>
      <c r="E19" s="80"/>
      <c r="F19" s="81"/>
      <c r="G19" s="83"/>
      <c r="I19" s="277"/>
      <c r="J19" s="278"/>
      <c r="K19" s="278"/>
      <c r="L19" s="278"/>
      <c r="M19" s="181"/>
      <c r="N19" s="83"/>
    </row>
    <row r="20" spans="2:14" x14ac:dyDescent="0.2">
      <c r="B20" s="82"/>
      <c r="C20" s="81"/>
      <c r="D20" s="51"/>
      <c r="E20" s="80"/>
      <c r="F20" s="81"/>
      <c r="G20" s="83"/>
      <c r="I20" s="277"/>
      <c r="J20" s="278"/>
      <c r="K20" s="278"/>
      <c r="L20" s="278"/>
      <c r="M20" s="181"/>
      <c r="N20" s="83"/>
    </row>
    <row r="21" spans="2:14" x14ac:dyDescent="0.2">
      <c r="B21" s="82"/>
      <c r="C21" s="81"/>
      <c r="D21" s="51"/>
      <c r="E21" s="80"/>
      <c r="F21" s="81"/>
      <c r="G21" s="83"/>
      <c r="I21" s="277"/>
      <c r="J21" s="278"/>
      <c r="K21" s="278"/>
      <c r="L21" s="278"/>
      <c r="M21" s="181"/>
      <c r="N21" s="83"/>
    </row>
    <row r="22" spans="2:14" x14ac:dyDescent="0.2">
      <c r="B22" s="82"/>
      <c r="C22" s="81"/>
      <c r="D22" s="51"/>
      <c r="E22" s="80"/>
      <c r="F22" s="81"/>
      <c r="G22" s="83"/>
      <c r="I22" s="277"/>
      <c r="J22" s="278"/>
      <c r="K22" s="278"/>
      <c r="L22" s="278"/>
      <c r="M22" s="181"/>
      <c r="N22" s="83"/>
    </row>
    <row r="23" spans="2:14" ht="17" thickBot="1" x14ac:dyDescent="0.25">
      <c r="B23" s="84"/>
      <c r="C23" s="85"/>
      <c r="D23" s="87"/>
      <c r="E23" s="88"/>
      <c r="F23" s="85"/>
      <c r="G23" s="86"/>
      <c r="I23" s="277"/>
      <c r="J23" s="278"/>
      <c r="K23" s="278"/>
      <c r="L23" s="278"/>
      <c r="M23" s="181"/>
      <c r="N23" s="83"/>
    </row>
    <row r="24" spans="2:14" ht="17" thickBot="1" x14ac:dyDescent="0.25">
      <c r="I24" s="277"/>
      <c r="J24" s="278"/>
      <c r="K24" s="278"/>
      <c r="L24" s="278"/>
      <c r="M24" s="181"/>
      <c r="N24" s="83"/>
    </row>
    <row r="25" spans="2:14" x14ac:dyDescent="0.2">
      <c r="B25" s="300" t="s">
        <v>236</v>
      </c>
      <c r="C25" s="301"/>
      <c r="D25" s="301"/>
      <c r="E25" s="302" t="s">
        <v>243</v>
      </c>
      <c r="F25" s="302"/>
      <c r="G25" s="303"/>
      <c r="I25" s="277"/>
      <c r="J25" s="278"/>
      <c r="K25" s="278"/>
      <c r="L25" s="278"/>
      <c r="M25" s="181"/>
      <c r="N25" s="83"/>
    </row>
    <row r="26" spans="2:14" x14ac:dyDescent="0.2">
      <c r="B26" s="82"/>
      <c r="C26" s="81"/>
      <c r="D26" s="51"/>
      <c r="E26" s="80"/>
      <c r="F26" s="81"/>
      <c r="G26" s="83"/>
      <c r="I26" s="277"/>
      <c r="J26" s="278"/>
      <c r="K26" s="278"/>
      <c r="L26" s="278"/>
      <c r="M26" s="181"/>
      <c r="N26" s="83"/>
    </row>
    <row r="27" spans="2:14" x14ac:dyDescent="0.2">
      <c r="B27" s="82"/>
      <c r="C27" s="81"/>
      <c r="D27" s="51"/>
      <c r="E27" s="80"/>
      <c r="F27" s="81"/>
      <c r="G27" s="83"/>
      <c r="I27" s="277"/>
      <c r="J27" s="278"/>
      <c r="K27" s="278"/>
      <c r="L27" s="278"/>
      <c r="M27" s="181"/>
      <c r="N27" s="83"/>
    </row>
    <row r="28" spans="2:14" x14ac:dyDescent="0.2">
      <c r="B28" s="82"/>
      <c r="C28" s="81"/>
      <c r="D28" s="51"/>
      <c r="E28" s="80"/>
      <c r="F28" s="81"/>
      <c r="G28" s="83"/>
      <c r="I28" s="277"/>
      <c r="J28" s="278"/>
      <c r="K28" s="278"/>
      <c r="L28" s="278"/>
      <c r="M28" s="181"/>
      <c r="N28" s="83"/>
    </row>
    <row r="29" spans="2:14" x14ac:dyDescent="0.2">
      <c r="B29" s="82"/>
      <c r="C29" s="81"/>
      <c r="D29" s="51"/>
      <c r="E29" s="80"/>
      <c r="F29" s="81"/>
      <c r="G29" s="83"/>
      <c r="I29" s="277"/>
      <c r="J29" s="278"/>
      <c r="K29" s="278"/>
      <c r="L29" s="278"/>
      <c r="M29" s="181"/>
      <c r="N29" s="83"/>
    </row>
    <row r="30" spans="2:14" ht="17" thickBot="1" x14ac:dyDescent="0.25">
      <c r="B30" s="84"/>
      <c r="C30" s="85"/>
      <c r="D30" s="87"/>
      <c r="E30" s="88"/>
      <c r="F30" s="85"/>
      <c r="G30" s="86"/>
      <c r="I30" s="279"/>
      <c r="J30" s="280"/>
      <c r="K30" s="280"/>
      <c r="L30" s="280"/>
      <c r="M30" s="281"/>
      <c r="N30" s="86"/>
    </row>
  </sheetData>
  <mergeCells count="37">
    <mergeCell ref="B2:C2"/>
    <mergeCell ref="B5:G5"/>
    <mergeCell ref="E11:G11"/>
    <mergeCell ref="B11:D11"/>
    <mergeCell ref="B18:D18"/>
    <mergeCell ref="E18:G18"/>
    <mergeCell ref="B25:D25"/>
    <mergeCell ref="E25:G25"/>
    <mergeCell ref="B3:G3"/>
    <mergeCell ref="D2:G2"/>
    <mergeCell ref="I5:N5"/>
    <mergeCell ref="I6:M6"/>
    <mergeCell ref="I7:M7"/>
    <mergeCell ref="I8:M8"/>
    <mergeCell ref="I20:M20"/>
    <mergeCell ref="I9:M9"/>
    <mergeCell ref="I10:M10"/>
    <mergeCell ref="I11:M11"/>
    <mergeCell ref="I12:M12"/>
    <mergeCell ref="I13:M13"/>
    <mergeCell ref="I14:M14"/>
    <mergeCell ref="I27:M27"/>
    <mergeCell ref="I28:M28"/>
    <mergeCell ref="I29:M29"/>
    <mergeCell ref="I30:M30"/>
    <mergeCell ref="I2:N3"/>
    <mergeCell ref="I21:M21"/>
    <mergeCell ref="I22:M22"/>
    <mergeCell ref="I23:M23"/>
    <mergeCell ref="I24:M24"/>
    <mergeCell ref="I25:M25"/>
    <mergeCell ref="I26:M26"/>
    <mergeCell ref="I15:M15"/>
    <mergeCell ref="I16:M16"/>
    <mergeCell ref="I17:M17"/>
    <mergeCell ref="I18:M18"/>
    <mergeCell ref="I19:M19"/>
  </mergeCells>
  <dataValidations count="1">
    <dataValidation type="list" allowBlank="1" showInputMessage="1" showErrorMessage="1" sqref="N7:N30" xr:uid="{4142DA49-83E2-B34C-AF14-85A8EF13C12A}">
      <formula1>$P$6:$P$9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A9D1-58AB-4D4D-8B1F-BBABAB5B0C3B}">
  <sheetPr>
    <tabColor theme="3"/>
  </sheetPr>
  <dimension ref="B1:G26"/>
  <sheetViews>
    <sheetView zoomScale="150" zoomScaleNormal="150" workbookViewId="0">
      <selection sqref="A1:XFD1048576"/>
    </sheetView>
  </sheetViews>
  <sheetFormatPr baseColWidth="10" defaultRowHeight="16" x14ac:dyDescent="0.2"/>
  <cols>
    <col min="1" max="1" width="3.33203125" style="1" customWidth="1"/>
    <col min="2" max="16384" width="10.83203125" style="1"/>
  </cols>
  <sheetData>
    <row r="1" spans="2:7" ht="17" thickBot="1" x14ac:dyDescent="0.25"/>
    <row r="2" spans="2:7" ht="94" customHeight="1" thickBot="1" x14ac:dyDescent="0.25">
      <c r="B2" s="138"/>
      <c r="C2" s="306"/>
      <c r="D2" s="312" t="s">
        <v>254</v>
      </c>
      <c r="E2" s="313"/>
      <c r="F2" s="313"/>
      <c r="G2" s="314"/>
    </row>
    <row r="3" spans="2:7" ht="17" thickBot="1" x14ac:dyDescent="0.25"/>
    <row r="4" spans="2:7" x14ac:dyDescent="0.2">
      <c r="B4" s="315" t="s">
        <v>253</v>
      </c>
      <c r="C4" s="316"/>
      <c r="D4" s="316"/>
      <c r="E4" s="316"/>
      <c r="F4" s="316"/>
      <c r="G4" s="317"/>
    </row>
    <row r="5" spans="2:7" x14ac:dyDescent="0.2">
      <c r="B5" s="277"/>
      <c r="C5" s="278"/>
      <c r="D5" s="278"/>
      <c r="E5" s="278"/>
      <c r="F5" s="278"/>
      <c r="G5" s="311"/>
    </row>
    <row r="6" spans="2:7" x14ac:dyDescent="0.2">
      <c r="B6" s="277"/>
      <c r="C6" s="278"/>
      <c r="D6" s="278"/>
      <c r="E6" s="278"/>
      <c r="F6" s="278"/>
      <c r="G6" s="311"/>
    </row>
    <row r="7" spans="2:7" x14ac:dyDescent="0.2">
      <c r="B7" s="277"/>
      <c r="C7" s="278"/>
      <c r="D7" s="278"/>
      <c r="E7" s="278"/>
      <c r="F7" s="278"/>
      <c r="G7" s="311"/>
    </row>
    <row r="8" spans="2:7" x14ac:dyDescent="0.2">
      <c r="B8" s="277"/>
      <c r="C8" s="278"/>
      <c r="D8" s="278"/>
      <c r="E8" s="278"/>
      <c r="F8" s="278"/>
      <c r="G8" s="311"/>
    </row>
    <row r="9" spans="2:7" x14ac:dyDescent="0.2">
      <c r="B9" s="277"/>
      <c r="C9" s="278"/>
      <c r="D9" s="278"/>
      <c r="E9" s="278"/>
      <c r="F9" s="278"/>
      <c r="G9" s="311"/>
    </row>
    <row r="10" spans="2:7" x14ac:dyDescent="0.2">
      <c r="B10" s="277"/>
      <c r="C10" s="278"/>
      <c r="D10" s="278"/>
      <c r="E10" s="278"/>
      <c r="F10" s="278"/>
      <c r="G10" s="311"/>
    </row>
    <row r="11" spans="2:7" x14ac:dyDescent="0.2">
      <c r="B11" s="277"/>
      <c r="C11" s="278"/>
      <c r="D11" s="278"/>
      <c r="E11" s="278"/>
      <c r="F11" s="278"/>
      <c r="G11" s="311"/>
    </row>
    <row r="12" spans="2:7" x14ac:dyDescent="0.2">
      <c r="B12" s="277"/>
      <c r="C12" s="278"/>
      <c r="D12" s="278"/>
      <c r="E12" s="278"/>
      <c r="F12" s="278"/>
      <c r="G12" s="311"/>
    </row>
    <row r="13" spans="2:7" x14ac:dyDescent="0.2">
      <c r="B13" s="277"/>
      <c r="C13" s="278"/>
      <c r="D13" s="278"/>
      <c r="E13" s="278"/>
      <c r="F13" s="278"/>
      <c r="G13" s="311"/>
    </row>
    <row r="14" spans="2:7" x14ac:dyDescent="0.2">
      <c r="B14" s="277"/>
      <c r="C14" s="278"/>
      <c r="D14" s="278"/>
      <c r="E14" s="278"/>
      <c r="F14" s="278"/>
      <c r="G14" s="311"/>
    </row>
    <row r="15" spans="2:7" x14ac:dyDescent="0.2">
      <c r="B15" s="277"/>
      <c r="C15" s="278"/>
      <c r="D15" s="278"/>
      <c r="E15" s="278"/>
      <c r="F15" s="278"/>
      <c r="G15" s="311"/>
    </row>
    <row r="16" spans="2:7" x14ac:dyDescent="0.2">
      <c r="B16" s="277"/>
      <c r="C16" s="278"/>
      <c r="D16" s="278"/>
      <c r="E16" s="278"/>
      <c r="F16" s="278"/>
      <c r="G16" s="311"/>
    </row>
    <row r="17" spans="2:7" x14ac:dyDescent="0.2">
      <c r="B17" s="277"/>
      <c r="C17" s="278"/>
      <c r="D17" s="278"/>
      <c r="E17" s="278"/>
      <c r="F17" s="278"/>
      <c r="G17" s="311"/>
    </row>
    <row r="18" spans="2:7" x14ac:dyDescent="0.2">
      <c r="B18" s="277"/>
      <c r="C18" s="278"/>
      <c r="D18" s="278"/>
      <c r="E18" s="278"/>
      <c r="F18" s="278"/>
      <c r="G18" s="311"/>
    </row>
    <row r="19" spans="2:7" x14ac:dyDescent="0.2">
      <c r="B19" s="277"/>
      <c r="C19" s="278"/>
      <c r="D19" s="278"/>
      <c r="E19" s="278"/>
      <c r="F19" s="278"/>
      <c r="G19" s="311"/>
    </row>
    <row r="20" spans="2:7" x14ac:dyDescent="0.2">
      <c r="B20" s="277"/>
      <c r="C20" s="278"/>
      <c r="D20" s="278"/>
      <c r="E20" s="278"/>
      <c r="F20" s="278"/>
      <c r="G20" s="311"/>
    </row>
    <row r="21" spans="2:7" x14ac:dyDescent="0.2">
      <c r="B21" s="277"/>
      <c r="C21" s="278"/>
      <c r="D21" s="278"/>
      <c r="E21" s="278"/>
      <c r="F21" s="278"/>
      <c r="G21" s="311"/>
    </row>
    <row r="22" spans="2:7" x14ac:dyDescent="0.2">
      <c r="B22" s="277"/>
      <c r="C22" s="278"/>
      <c r="D22" s="278"/>
      <c r="E22" s="278"/>
      <c r="F22" s="278"/>
      <c r="G22" s="311"/>
    </row>
    <row r="23" spans="2:7" x14ac:dyDescent="0.2">
      <c r="B23" s="277"/>
      <c r="C23" s="278"/>
      <c r="D23" s="278"/>
      <c r="E23" s="278"/>
      <c r="F23" s="278"/>
      <c r="G23" s="311"/>
    </row>
    <row r="24" spans="2:7" x14ac:dyDescent="0.2">
      <c r="B24" s="277"/>
      <c r="C24" s="278"/>
      <c r="D24" s="278"/>
      <c r="E24" s="278"/>
      <c r="F24" s="278"/>
      <c r="G24" s="311"/>
    </row>
    <row r="25" spans="2:7" x14ac:dyDescent="0.2">
      <c r="B25" s="277"/>
      <c r="C25" s="278"/>
      <c r="D25" s="278"/>
      <c r="E25" s="278"/>
      <c r="F25" s="278"/>
      <c r="G25" s="311"/>
    </row>
    <row r="26" spans="2:7" ht="17" thickBot="1" x14ac:dyDescent="0.25">
      <c r="B26" s="89"/>
      <c r="C26" s="90"/>
      <c r="D26" s="90"/>
      <c r="E26" s="90"/>
      <c r="F26" s="90"/>
      <c r="G26" s="91"/>
    </row>
  </sheetData>
  <mergeCells count="24">
    <mergeCell ref="B2:C2"/>
    <mergeCell ref="D2:G2"/>
    <mergeCell ref="B4:G4"/>
    <mergeCell ref="B5:G5"/>
    <mergeCell ref="B6:G6"/>
    <mergeCell ref="B18:G18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25:G25"/>
    <mergeCell ref="B19:G19"/>
    <mergeCell ref="B20:G20"/>
    <mergeCell ref="B21:G21"/>
    <mergeCell ref="B22:G22"/>
    <mergeCell ref="B23:G23"/>
    <mergeCell ref="B24:G24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EA42-08DA-6F4E-9A15-DA53EA088C7E}">
  <sheetPr>
    <tabColor rgb="FF7030A0"/>
  </sheetPr>
  <dimension ref="B1:M26"/>
  <sheetViews>
    <sheetView zoomScale="150" zoomScaleNormal="150" workbookViewId="0">
      <selection activeCell="B19" sqref="B2:M19"/>
    </sheetView>
  </sheetViews>
  <sheetFormatPr baseColWidth="10" defaultRowHeight="16" x14ac:dyDescent="0.2"/>
  <cols>
    <col min="1" max="1" width="3.33203125" style="1" customWidth="1"/>
    <col min="2" max="16384" width="10.83203125" style="1"/>
  </cols>
  <sheetData>
    <row r="1" spans="2:13" ht="17" thickBot="1" x14ac:dyDescent="0.25"/>
    <row r="2" spans="2:13" ht="94" customHeight="1" thickBot="1" x14ac:dyDescent="0.25">
      <c r="B2" s="138"/>
      <c r="C2" s="306"/>
      <c r="D2" s="312" t="s">
        <v>256</v>
      </c>
      <c r="E2" s="313"/>
      <c r="F2" s="313"/>
      <c r="G2" s="313"/>
      <c r="H2" s="313"/>
      <c r="I2" s="313"/>
      <c r="J2" s="313"/>
      <c r="K2" s="313"/>
      <c r="L2" s="313"/>
      <c r="M2" s="314"/>
    </row>
    <row r="3" spans="2:13" ht="17" thickBot="1" x14ac:dyDescent="0.25"/>
    <row r="4" spans="2:13" x14ac:dyDescent="0.2">
      <c r="B4" s="321" t="s">
        <v>257</v>
      </c>
      <c r="C4" s="322"/>
      <c r="D4" s="322"/>
      <c r="E4" s="322"/>
      <c r="F4" s="322"/>
      <c r="G4" s="322"/>
      <c r="H4" s="318" t="s">
        <v>255</v>
      </c>
      <c r="I4" s="319"/>
      <c r="J4" s="319"/>
      <c r="K4" s="319"/>
      <c r="L4" s="319"/>
      <c r="M4" s="320"/>
    </row>
    <row r="5" spans="2:13" x14ac:dyDescent="0.2">
      <c r="B5" s="294"/>
      <c r="C5" s="295"/>
      <c r="D5" s="295"/>
      <c r="E5" s="295"/>
      <c r="F5" s="295"/>
      <c r="G5" s="295"/>
      <c r="H5" s="278"/>
      <c r="I5" s="278"/>
      <c r="J5" s="278"/>
      <c r="K5" s="278"/>
      <c r="L5" s="278"/>
      <c r="M5" s="311"/>
    </row>
    <row r="6" spans="2:13" x14ac:dyDescent="0.2">
      <c r="B6" s="294"/>
      <c r="C6" s="295"/>
      <c r="D6" s="295"/>
      <c r="E6" s="295"/>
      <c r="F6" s="295"/>
      <c r="G6" s="295"/>
      <c r="H6" s="278"/>
      <c r="I6" s="278"/>
      <c r="J6" s="278"/>
      <c r="K6" s="278"/>
      <c r="L6" s="278"/>
      <c r="M6" s="311"/>
    </row>
    <row r="7" spans="2:13" x14ac:dyDescent="0.2">
      <c r="B7" s="294"/>
      <c r="C7" s="295"/>
      <c r="D7" s="295"/>
      <c r="E7" s="295"/>
      <c r="F7" s="295"/>
      <c r="G7" s="295"/>
      <c r="H7" s="278"/>
      <c r="I7" s="278"/>
      <c r="J7" s="278"/>
      <c r="K7" s="278"/>
      <c r="L7" s="278"/>
      <c r="M7" s="311"/>
    </row>
    <row r="8" spans="2:13" x14ac:dyDescent="0.2">
      <c r="B8" s="294"/>
      <c r="C8" s="295"/>
      <c r="D8" s="295"/>
      <c r="E8" s="295"/>
      <c r="F8" s="295"/>
      <c r="G8" s="295"/>
      <c r="H8" s="278"/>
      <c r="I8" s="278"/>
      <c r="J8" s="278"/>
      <c r="K8" s="278"/>
      <c r="L8" s="278"/>
      <c r="M8" s="311"/>
    </row>
    <row r="9" spans="2:13" x14ac:dyDescent="0.2">
      <c r="B9" s="294"/>
      <c r="C9" s="295"/>
      <c r="D9" s="295"/>
      <c r="E9" s="295"/>
      <c r="F9" s="295"/>
      <c r="G9" s="295"/>
      <c r="H9" s="278"/>
      <c r="I9" s="278"/>
      <c r="J9" s="278"/>
      <c r="K9" s="278"/>
      <c r="L9" s="278"/>
      <c r="M9" s="311"/>
    </row>
    <row r="10" spans="2:13" x14ac:dyDescent="0.2">
      <c r="B10" s="294"/>
      <c r="C10" s="295"/>
      <c r="D10" s="295"/>
      <c r="E10" s="295"/>
      <c r="F10" s="295"/>
      <c r="G10" s="295"/>
      <c r="H10" s="278"/>
      <c r="I10" s="278"/>
      <c r="J10" s="278"/>
      <c r="K10" s="278"/>
      <c r="L10" s="278"/>
      <c r="M10" s="311"/>
    </row>
    <row r="11" spans="2:13" x14ac:dyDescent="0.2">
      <c r="B11" s="294"/>
      <c r="C11" s="295"/>
      <c r="D11" s="295"/>
      <c r="E11" s="295"/>
      <c r="F11" s="295"/>
      <c r="G11" s="295"/>
      <c r="H11" s="278"/>
      <c r="I11" s="278"/>
      <c r="J11" s="278"/>
      <c r="K11" s="278"/>
      <c r="L11" s="278"/>
      <c r="M11" s="311"/>
    </row>
    <row r="12" spans="2:13" x14ac:dyDescent="0.2">
      <c r="B12" s="294"/>
      <c r="C12" s="295"/>
      <c r="D12" s="295"/>
      <c r="E12" s="295"/>
      <c r="F12" s="295"/>
      <c r="G12" s="295"/>
      <c r="H12" s="278"/>
      <c r="I12" s="278"/>
      <c r="J12" s="278"/>
      <c r="K12" s="278"/>
      <c r="L12" s="278"/>
      <c r="M12" s="311"/>
    </row>
    <row r="13" spans="2:13" x14ac:dyDescent="0.2">
      <c r="B13" s="294"/>
      <c r="C13" s="295"/>
      <c r="D13" s="295"/>
      <c r="E13" s="295"/>
      <c r="F13" s="295"/>
      <c r="G13" s="295"/>
      <c r="H13" s="278"/>
      <c r="I13" s="278"/>
      <c r="J13" s="278"/>
      <c r="K13" s="278"/>
      <c r="L13" s="278"/>
      <c r="M13" s="311"/>
    </row>
    <row r="14" spans="2:13" x14ac:dyDescent="0.2">
      <c r="B14" s="294"/>
      <c r="C14" s="295"/>
      <c r="D14" s="295"/>
      <c r="E14" s="295"/>
      <c r="F14" s="295"/>
      <c r="G14" s="295"/>
      <c r="H14" s="278"/>
      <c r="I14" s="278"/>
      <c r="J14" s="278"/>
      <c r="K14" s="278"/>
      <c r="L14" s="278"/>
      <c r="M14" s="311"/>
    </row>
    <row r="15" spans="2:13" x14ac:dyDescent="0.2">
      <c r="B15" s="294"/>
      <c r="C15" s="295"/>
      <c r="D15" s="295"/>
      <c r="E15" s="295"/>
      <c r="F15" s="295"/>
      <c r="G15" s="295"/>
      <c r="H15" s="278"/>
      <c r="I15" s="278"/>
      <c r="J15" s="278"/>
      <c r="K15" s="278"/>
      <c r="L15" s="278"/>
      <c r="M15" s="311"/>
    </row>
    <row r="16" spans="2:13" x14ac:dyDescent="0.2">
      <c r="B16" s="294"/>
      <c r="C16" s="295"/>
      <c r="D16" s="295"/>
      <c r="E16" s="295"/>
      <c r="F16" s="295"/>
      <c r="G16" s="295"/>
      <c r="H16" s="278"/>
      <c r="I16" s="278"/>
      <c r="J16" s="278"/>
      <c r="K16" s="278"/>
      <c r="L16" s="278"/>
      <c r="M16" s="311"/>
    </row>
    <row r="17" spans="2:13" x14ac:dyDescent="0.2">
      <c r="B17" s="294"/>
      <c r="C17" s="295"/>
      <c r="D17" s="295"/>
      <c r="E17" s="295"/>
      <c r="F17" s="295"/>
      <c r="G17" s="295"/>
      <c r="H17" s="278"/>
      <c r="I17" s="278"/>
      <c r="J17" s="278"/>
      <c r="K17" s="278"/>
      <c r="L17" s="278"/>
      <c r="M17" s="311"/>
    </row>
    <row r="18" spans="2:13" x14ac:dyDescent="0.2">
      <c r="B18" s="294"/>
      <c r="C18" s="295"/>
      <c r="D18" s="295"/>
      <c r="E18" s="295"/>
      <c r="F18" s="295"/>
      <c r="G18" s="295"/>
      <c r="H18" s="278"/>
      <c r="I18" s="278"/>
      <c r="J18" s="278"/>
      <c r="K18" s="278"/>
      <c r="L18" s="278"/>
      <c r="M18" s="311"/>
    </row>
    <row r="19" spans="2:13" x14ac:dyDescent="0.2">
      <c r="B19" s="294"/>
      <c r="C19" s="295"/>
      <c r="D19" s="295"/>
      <c r="E19" s="295"/>
      <c r="F19" s="295"/>
      <c r="G19" s="295"/>
      <c r="H19" s="278"/>
      <c r="I19" s="278"/>
      <c r="J19" s="278"/>
      <c r="K19" s="278"/>
      <c r="L19" s="278"/>
      <c r="M19" s="311"/>
    </row>
    <row r="20" spans="2:13" x14ac:dyDescent="0.2">
      <c r="B20" s="294"/>
      <c r="C20" s="295"/>
      <c r="D20" s="295"/>
      <c r="E20" s="295"/>
      <c r="F20" s="295"/>
      <c r="G20" s="295"/>
      <c r="H20" s="278"/>
      <c r="I20" s="278"/>
      <c r="J20" s="278"/>
      <c r="K20" s="278"/>
      <c r="L20" s="278"/>
      <c r="M20" s="311"/>
    </row>
    <row r="21" spans="2:13" x14ac:dyDescent="0.2">
      <c r="B21" s="294"/>
      <c r="C21" s="295"/>
      <c r="D21" s="295"/>
      <c r="E21" s="295"/>
      <c r="F21" s="295"/>
      <c r="G21" s="295"/>
      <c r="H21" s="278"/>
      <c r="I21" s="278"/>
      <c r="J21" s="278"/>
      <c r="K21" s="278"/>
      <c r="L21" s="278"/>
      <c r="M21" s="311"/>
    </row>
    <row r="22" spans="2:13" x14ac:dyDescent="0.2">
      <c r="B22" s="294"/>
      <c r="C22" s="295"/>
      <c r="D22" s="295"/>
      <c r="E22" s="295"/>
      <c r="F22" s="295"/>
      <c r="G22" s="295"/>
      <c r="H22" s="278"/>
      <c r="I22" s="278"/>
      <c r="J22" s="278"/>
      <c r="K22" s="278"/>
      <c r="L22" s="278"/>
      <c r="M22" s="311"/>
    </row>
    <row r="23" spans="2:13" x14ac:dyDescent="0.2">
      <c r="B23" s="294"/>
      <c r="C23" s="295"/>
      <c r="D23" s="295"/>
      <c r="E23" s="295"/>
      <c r="F23" s="295"/>
      <c r="G23" s="295"/>
      <c r="H23" s="278"/>
      <c r="I23" s="278"/>
      <c r="J23" s="278"/>
      <c r="K23" s="278"/>
      <c r="L23" s="278"/>
      <c r="M23" s="311"/>
    </row>
    <row r="24" spans="2:13" x14ac:dyDescent="0.2">
      <c r="B24" s="294"/>
      <c r="C24" s="295"/>
      <c r="D24" s="295"/>
      <c r="E24" s="295"/>
      <c r="F24" s="295"/>
      <c r="G24" s="295"/>
      <c r="H24" s="278"/>
      <c r="I24" s="278"/>
      <c r="J24" s="278"/>
      <c r="K24" s="278"/>
      <c r="L24" s="278"/>
      <c r="M24" s="311"/>
    </row>
    <row r="25" spans="2:13" x14ac:dyDescent="0.2">
      <c r="B25" s="294"/>
      <c r="C25" s="295"/>
      <c r="D25" s="295"/>
      <c r="E25" s="295"/>
      <c r="F25" s="295"/>
      <c r="G25" s="295"/>
      <c r="H25" s="278"/>
      <c r="I25" s="278"/>
      <c r="J25" s="278"/>
      <c r="K25" s="278"/>
      <c r="L25" s="278"/>
      <c r="M25" s="311"/>
    </row>
    <row r="26" spans="2:13" ht="17" thickBot="1" x14ac:dyDescent="0.25">
      <c r="B26" s="279"/>
      <c r="C26" s="280"/>
      <c r="D26" s="280"/>
      <c r="E26" s="280"/>
      <c r="F26" s="280"/>
      <c r="G26" s="281"/>
      <c r="H26" s="90"/>
      <c r="I26" s="90"/>
      <c r="J26" s="90"/>
      <c r="K26" s="90"/>
      <c r="L26" s="90"/>
      <c r="M26" s="91"/>
    </row>
  </sheetData>
  <mergeCells count="47">
    <mergeCell ref="B2:C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H9:M9"/>
    <mergeCell ref="B20:G20"/>
    <mergeCell ref="B21:G21"/>
    <mergeCell ref="B22:G22"/>
    <mergeCell ref="B23:G23"/>
    <mergeCell ref="B14:G14"/>
    <mergeCell ref="B15:G15"/>
    <mergeCell ref="B16:G16"/>
    <mergeCell ref="B17:G17"/>
    <mergeCell ref="B18:G18"/>
    <mergeCell ref="B19:G19"/>
    <mergeCell ref="B13:G13"/>
    <mergeCell ref="B26:G26"/>
    <mergeCell ref="H16:M16"/>
    <mergeCell ref="H17:M17"/>
    <mergeCell ref="H18:M18"/>
    <mergeCell ref="H19:M19"/>
    <mergeCell ref="H20:M20"/>
    <mergeCell ref="H21:M21"/>
    <mergeCell ref="B24:G24"/>
    <mergeCell ref="B25:G25"/>
    <mergeCell ref="H22:M22"/>
    <mergeCell ref="H23:M23"/>
    <mergeCell ref="H24:M24"/>
    <mergeCell ref="H25:M25"/>
    <mergeCell ref="D2:M2"/>
    <mergeCell ref="H10:M10"/>
    <mergeCell ref="H11:M11"/>
    <mergeCell ref="H12:M12"/>
    <mergeCell ref="H13:M13"/>
    <mergeCell ref="H14:M14"/>
    <mergeCell ref="H15:M15"/>
    <mergeCell ref="H4:M4"/>
    <mergeCell ref="H5:M5"/>
    <mergeCell ref="H6:M6"/>
    <mergeCell ref="H7:M7"/>
    <mergeCell ref="H8:M8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D776-C75E-2840-A050-927FB2584EB9}">
  <sheetPr>
    <tabColor rgb="FF00B0F0"/>
  </sheetPr>
  <dimension ref="B1:L95"/>
  <sheetViews>
    <sheetView topLeftCell="A13" zoomScale="150" zoomScaleNormal="150" workbookViewId="0">
      <selection activeCell="W25" sqref="W25"/>
    </sheetView>
  </sheetViews>
  <sheetFormatPr baseColWidth="10" defaultRowHeight="14" x14ac:dyDescent="0.2"/>
  <cols>
    <col min="1" max="1" width="2.33203125" style="92" customWidth="1"/>
    <col min="2" max="2" width="6.1640625" style="92" customWidth="1"/>
    <col min="3" max="3" width="2.33203125" style="92" customWidth="1"/>
    <col min="4" max="4" width="7.6640625" style="92" customWidth="1"/>
    <col min="5" max="5" width="7.83203125" style="92" customWidth="1"/>
    <col min="6" max="6" width="11.1640625" style="92" customWidth="1"/>
    <col min="7" max="7" width="11.5" style="92" customWidth="1"/>
    <col min="8" max="8" width="6.83203125" style="92" customWidth="1"/>
    <col min="9" max="9" width="6.5" style="92" customWidth="1"/>
    <col min="10" max="11" width="6.83203125" style="92" customWidth="1"/>
    <col min="12" max="12" width="8.6640625" style="92" customWidth="1"/>
    <col min="13" max="13" width="2.33203125" style="92" customWidth="1"/>
    <col min="14" max="15" width="6.83203125" style="92" customWidth="1"/>
    <col min="16" max="16384" width="10.83203125" style="92"/>
  </cols>
  <sheetData>
    <row r="1" spans="2:12" ht="86" customHeight="1" x14ac:dyDescent="0.2"/>
    <row r="2" spans="2:12" x14ac:dyDescent="0.2">
      <c r="B2" s="346" t="s">
        <v>258</v>
      </c>
      <c r="C2" s="347"/>
      <c r="D2" s="347"/>
      <c r="E2" s="347"/>
      <c r="F2" s="347"/>
      <c r="G2" s="347"/>
      <c r="H2" s="347"/>
      <c r="I2" s="347"/>
      <c r="J2" s="347"/>
      <c r="K2" s="347"/>
      <c r="L2" s="348"/>
    </row>
    <row r="3" spans="2:12" ht="6" customHeight="1" x14ac:dyDescent="0.2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2:12" ht="12" customHeight="1" x14ac:dyDescent="0.2">
      <c r="B4" s="94" t="s">
        <v>259</v>
      </c>
      <c r="C4" s="94"/>
      <c r="D4" s="94"/>
      <c r="E4" s="94"/>
      <c r="F4" s="94"/>
      <c r="G4" s="94" t="s">
        <v>260</v>
      </c>
      <c r="H4" s="94"/>
      <c r="I4" s="94" t="s">
        <v>261</v>
      </c>
      <c r="J4" s="94"/>
      <c r="K4" s="94"/>
      <c r="L4" s="94"/>
    </row>
    <row r="5" spans="2:12" ht="12" customHeight="1" x14ac:dyDescent="0.2">
      <c r="B5" s="94" t="s">
        <v>262</v>
      </c>
      <c r="C5" s="94"/>
      <c r="D5" s="94"/>
      <c r="E5" s="94"/>
      <c r="F5" s="94"/>
      <c r="G5" s="94" t="s">
        <v>263</v>
      </c>
      <c r="H5" s="94"/>
      <c r="I5" s="94"/>
      <c r="J5" s="94"/>
      <c r="K5" s="94"/>
      <c r="L5" s="94"/>
    </row>
    <row r="6" spans="2:12" ht="6" customHeight="1" x14ac:dyDescent="0.2"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2:12" x14ac:dyDescent="0.2">
      <c r="B7" s="96" t="s">
        <v>264</v>
      </c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2:12" ht="6" customHeight="1" x14ac:dyDescent="0.2"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</row>
    <row r="9" spans="2:12" x14ac:dyDescent="0.2">
      <c r="B9" s="98" t="s">
        <v>239</v>
      </c>
      <c r="C9" s="98"/>
      <c r="D9" s="98"/>
      <c r="E9" s="98"/>
      <c r="F9" s="98"/>
      <c r="G9" s="98"/>
      <c r="H9" s="98" t="s">
        <v>265</v>
      </c>
      <c r="I9" s="98"/>
      <c r="J9" s="98"/>
      <c r="K9" s="98"/>
      <c r="L9" s="98"/>
    </row>
    <row r="10" spans="2:12" x14ac:dyDescent="0.2">
      <c r="B10" s="99" t="s">
        <v>266</v>
      </c>
      <c r="C10" s="98"/>
      <c r="D10" s="98"/>
      <c r="E10" s="98"/>
      <c r="F10" s="98"/>
      <c r="G10" s="98"/>
      <c r="H10" s="98" t="s">
        <v>267</v>
      </c>
      <c r="I10" s="98"/>
      <c r="J10" s="98"/>
      <c r="K10" s="99"/>
      <c r="L10" s="99"/>
    </row>
    <row r="11" spans="2:12" x14ac:dyDescent="0.2">
      <c r="B11" s="100" t="s">
        <v>268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</row>
    <row r="12" spans="2:12" x14ac:dyDescent="0.2">
      <c r="B12" s="98" t="s">
        <v>269</v>
      </c>
      <c r="C12" s="100"/>
      <c r="D12" s="100"/>
      <c r="E12" s="100"/>
      <c r="F12" s="100"/>
      <c r="G12" s="100"/>
      <c r="H12" s="100" t="s">
        <v>270</v>
      </c>
      <c r="I12" s="100"/>
      <c r="J12" s="100"/>
      <c r="K12" s="98"/>
      <c r="L12" s="98"/>
    </row>
    <row r="13" spans="2:12" x14ac:dyDescent="0.2">
      <c r="B13" s="100" t="s">
        <v>271</v>
      </c>
      <c r="C13" s="100"/>
      <c r="D13" s="100"/>
      <c r="E13" s="100"/>
      <c r="F13" s="100"/>
      <c r="G13" s="100"/>
      <c r="H13" s="100" t="s">
        <v>272</v>
      </c>
      <c r="I13" s="100"/>
      <c r="J13" s="100"/>
      <c r="K13" s="100"/>
      <c r="L13" s="100"/>
    </row>
    <row r="14" spans="2:12" x14ac:dyDescent="0.2">
      <c r="B14" s="100" t="s">
        <v>273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</row>
    <row r="15" spans="2:12" x14ac:dyDescent="0.2">
      <c r="B15" s="100" t="s">
        <v>274</v>
      </c>
      <c r="C15" s="100"/>
      <c r="D15" s="100"/>
      <c r="E15" s="100"/>
      <c r="F15" s="100"/>
      <c r="G15" s="100"/>
      <c r="H15" s="100" t="s">
        <v>275</v>
      </c>
      <c r="I15" s="100"/>
      <c r="J15" s="100"/>
      <c r="K15" s="100"/>
      <c r="L15" s="100"/>
    </row>
    <row r="16" spans="2:12" x14ac:dyDescent="0.2">
      <c r="B16" s="100" t="s">
        <v>276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</row>
    <row r="17" spans="2:12" x14ac:dyDescent="0.2">
      <c r="B17" s="100" t="s">
        <v>277</v>
      </c>
      <c r="C17" s="100"/>
      <c r="D17" s="100"/>
      <c r="E17" s="100"/>
      <c r="F17" s="100"/>
      <c r="G17" s="100"/>
      <c r="H17" s="100" t="s">
        <v>278</v>
      </c>
      <c r="I17" s="100"/>
      <c r="J17" s="100"/>
      <c r="K17" s="100"/>
      <c r="L17" s="100"/>
    </row>
    <row r="18" spans="2:12" ht="7" customHeight="1" x14ac:dyDescent="0.2"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</row>
    <row r="19" spans="2:12" x14ac:dyDescent="0.2">
      <c r="B19" s="96"/>
      <c r="C19" s="96"/>
      <c r="D19" s="96" t="s">
        <v>279</v>
      </c>
      <c r="E19" s="96"/>
      <c r="F19" s="96"/>
      <c r="G19" s="96" t="s">
        <v>280</v>
      </c>
      <c r="H19" s="96"/>
      <c r="I19" s="96"/>
      <c r="J19" s="96" t="s">
        <v>281</v>
      </c>
      <c r="K19" s="96"/>
      <c r="L19" s="101"/>
    </row>
    <row r="20" spans="2:12" ht="6" customHeight="1" x14ac:dyDescent="0.2"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</row>
    <row r="21" spans="2:12" x14ac:dyDescent="0.2">
      <c r="B21" s="98" t="s">
        <v>239</v>
      </c>
      <c r="C21" s="98"/>
      <c r="D21" s="98"/>
      <c r="E21" s="98"/>
      <c r="F21" s="98"/>
      <c r="G21" s="98"/>
      <c r="H21" s="98" t="s">
        <v>265</v>
      </c>
      <c r="I21" s="98"/>
      <c r="J21" s="98"/>
      <c r="K21" s="98"/>
      <c r="L21" s="98"/>
    </row>
    <row r="22" spans="2:12" x14ac:dyDescent="0.2">
      <c r="B22" s="99" t="s">
        <v>266</v>
      </c>
      <c r="C22" s="98"/>
      <c r="D22" s="98"/>
      <c r="E22" s="98"/>
      <c r="F22" s="98"/>
      <c r="G22" s="98"/>
      <c r="H22" s="98" t="s">
        <v>267</v>
      </c>
      <c r="I22" s="98"/>
      <c r="J22" s="98"/>
      <c r="K22" s="99"/>
      <c r="L22" s="99"/>
    </row>
    <row r="23" spans="2:12" x14ac:dyDescent="0.2">
      <c r="B23" s="100" t="s">
        <v>268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</row>
    <row r="24" spans="2:12" x14ac:dyDescent="0.2">
      <c r="B24" s="98" t="s">
        <v>269</v>
      </c>
      <c r="C24" s="100"/>
      <c r="D24" s="100"/>
      <c r="E24" s="100"/>
      <c r="F24" s="100"/>
      <c r="G24" s="100"/>
      <c r="H24" s="100" t="s">
        <v>270</v>
      </c>
      <c r="I24" s="100"/>
      <c r="J24" s="100"/>
      <c r="K24" s="98"/>
      <c r="L24" s="98"/>
    </row>
    <row r="25" spans="2:12" x14ac:dyDescent="0.2">
      <c r="B25" s="100" t="s">
        <v>271</v>
      </c>
      <c r="C25" s="100"/>
      <c r="D25" s="100"/>
      <c r="E25" s="100"/>
      <c r="F25" s="100"/>
      <c r="G25" s="100"/>
      <c r="H25" s="100" t="s">
        <v>272</v>
      </c>
      <c r="I25" s="100"/>
      <c r="J25" s="100"/>
      <c r="K25" s="100"/>
      <c r="L25" s="100"/>
    </row>
    <row r="26" spans="2:12" x14ac:dyDescent="0.2">
      <c r="B26" s="100" t="s">
        <v>273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</row>
    <row r="27" spans="2:12" x14ac:dyDescent="0.2">
      <c r="B27" s="100" t="s">
        <v>274</v>
      </c>
      <c r="C27" s="100"/>
      <c r="D27" s="100"/>
      <c r="E27" s="100"/>
      <c r="F27" s="100"/>
      <c r="G27" s="100"/>
      <c r="H27" s="100" t="s">
        <v>275</v>
      </c>
      <c r="I27" s="100"/>
      <c r="J27" s="100"/>
      <c r="K27" s="100"/>
      <c r="L27" s="100"/>
    </row>
    <row r="28" spans="2:12" x14ac:dyDescent="0.2">
      <c r="B28" s="100" t="s">
        <v>276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</row>
    <row r="29" spans="2:12" x14ac:dyDescent="0.2">
      <c r="B29" s="100" t="s">
        <v>277</v>
      </c>
      <c r="C29" s="100"/>
      <c r="D29" s="100"/>
      <c r="E29" s="100"/>
      <c r="F29" s="100"/>
      <c r="G29" s="100"/>
      <c r="H29" s="100" t="s">
        <v>278</v>
      </c>
      <c r="I29" s="100"/>
      <c r="J29" s="100"/>
      <c r="K29" s="100"/>
      <c r="L29" s="100"/>
    </row>
    <row r="30" spans="2:12" ht="7" customHeight="1" x14ac:dyDescent="0.2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</row>
    <row r="31" spans="2:12" x14ac:dyDescent="0.2">
      <c r="B31" s="96" t="s">
        <v>282</v>
      </c>
      <c r="C31" s="96"/>
      <c r="D31" s="96"/>
      <c r="E31" s="96"/>
      <c r="F31" s="96"/>
      <c r="G31" s="96"/>
      <c r="H31" s="96"/>
      <c r="I31" s="96"/>
      <c r="J31" s="96"/>
      <c r="K31" s="96"/>
      <c r="L31" s="101"/>
    </row>
    <row r="32" spans="2:12" ht="7" customHeight="1" x14ac:dyDescent="0.2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</row>
    <row r="33" spans="2:12" x14ac:dyDescent="0.2">
      <c r="B33" s="98" t="s">
        <v>283</v>
      </c>
      <c r="C33" s="98"/>
      <c r="D33" s="98"/>
      <c r="E33" s="98"/>
      <c r="F33" s="98"/>
      <c r="G33" s="98"/>
      <c r="H33" s="98" t="s">
        <v>284</v>
      </c>
      <c r="I33" s="98"/>
      <c r="J33" s="98"/>
      <c r="K33" s="98"/>
      <c r="L33" s="98"/>
    </row>
    <row r="34" spans="2:12" x14ac:dyDescent="0.2">
      <c r="B34" s="99" t="s">
        <v>285</v>
      </c>
      <c r="C34" s="98"/>
      <c r="D34" s="98"/>
      <c r="E34" s="98"/>
      <c r="F34" s="98"/>
      <c r="G34" s="98"/>
      <c r="H34" s="98" t="s">
        <v>286</v>
      </c>
      <c r="I34" s="98"/>
      <c r="J34" s="98"/>
      <c r="K34" s="99"/>
      <c r="L34" s="99"/>
    </row>
    <row r="35" spans="2:12" x14ac:dyDescent="0.2">
      <c r="B35" s="100" t="s">
        <v>268</v>
      </c>
      <c r="C35" s="100"/>
      <c r="D35" s="100"/>
      <c r="E35" s="100"/>
      <c r="F35" s="100"/>
      <c r="G35" s="100"/>
      <c r="H35" s="100" t="s">
        <v>287</v>
      </c>
      <c r="I35" s="100"/>
      <c r="J35" s="100"/>
      <c r="K35" s="100"/>
      <c r="L35" s="100"/>
    </row>
    <row r="36" spans="2:12" ht="7" customHeight="1" x14ac:dyDescent="0.2">
      <c r="B36" s="99"/>
      <c r="C36" s="102"/>
      <c r="D36" s="102"/>
      <c r="E36" s="102"/>
      <c r="F36" s="102"/>
      <c r="G36" s="102"/>
      <c r="H36" s="102"/>
      <c r="I36" s="102"/>
      <c r="J36" s="102"/>
      <c r="K36" s="99"/>
      <c r="L36" s="99"/>
    </row>
    <row r="37" spans="2:12" x14ac:dyDescent="0.2">
      <c r="B37" s="96" t="s">
        <v>288</v>
      </c>
      <c r="C37" s="96"/>
      <c r="D37" s="96"/>
      <c r="E37" s="96"/>
      <c r="F37" s="96"/>
      <c r="G37" s="96"/>
      <c r="H37" s="96"/>
      <c r="I37" s="96"/>
      <c r="J37" s="96"/>
      <c r="K37" s="96"/>
      <c r="L37" s="101"/>
    </row>
    <row r="38" spans="2:12" s="99" customFormat="1" ht="5" customHeight="1" x14ac:dyDescent="0.2"/>
    <row r="39" spans="2:12" s="99" customFormat="1" ht="10" x14ac:dyDescent="0.2">
      <c r="B39" s="342" t="s">
        <v>289</v>
      </c>
      <c r="C39" s="342"/>
      <c r="D39" s="342"/>
      <c r="E39" s="342"/>
      <c r="F39" s="342"/>
      <c r="G39" s="342"/>
      <c r="H39" s="342"/>
      <c r="I39" s="342"/>
      <c r="J39" s="342"/>
      <c r="K39" s="342"/>
      <c r="L39" s="342"/>
    </row>
    <row r="40" spans="2:12" s="99" customFormat="1" ht="10" x14ac:dyDescent="0.2">
      <c r="B40" s="343" t="s">
        <v>290</v>
      </c>
      <c r="C40" s="343"/>
      <c r="D40" s="103" t="s">
        <v>291</v>
      </c>
      <c r="E40" s="103" t="s">
        <v>292</v>
      </c>
      <c r="F40" s="103" t="s">
        <v>293</v>
      </c>
      <c r="G40" s="103" t="s">
        <v>294</v>
      </c>
      <c r="H40" s="343" t="s">
        <v>295</v>
      </c>
      <c r="I40" s="343"/>
      <c r="J40" s="343" t="s">
        <v>296</v>
      </c>
      <c r="K40" s="343"/>
      <c r="L40" s="343"/>
    </row>
    <row r="41" spans="2:12" s="99" customFormat="1" ht="12" customHeight="1" x14ac:dyDescent="0.2">
      <c r="B41" s="338"/>
      <c r="C41" s="339"/>
      <c r="D41" s="104"/>
      <c r="E41" s="104"/>
      <c r="F41" s="105"/>
      <c r="G41" s="105">
        <f>F41*B41</f>
        <v>0</v>
      </c>
      <c r="H41" s="338"/>
      <c r="I41" s="339"/>
      <c r="J41" s="338"/>
      <c r="K41" s="340"/>
      <c r="L41" s="339"/>
    </row>
    <row r="42" spans="2:12" s="99" customFormat="1" ht="12" customHeight="1" x14ac:dyDescent="0.2">
      <c r="B42" s="338"/>
      <c r="C42" s="339"/>
      <c r="D42" s="104"/>
      <c r="E42" s="106"/>
      <c r="F42" s="105"/>
      <c r="G42" s="105">
        <f t="shared" ref="G42:G48" si="0">F42*B42</f>
        <v>0</v>
      </c>
      <c r="H42" s="338"/>
      <c r="I42" s="339"/>
      <c r="J42" s="338"/>
      <c r="K42" s="340"/>
      <c r="L42" s="339"/>
    </row>
    <row r="43" spans="2:12" s="99" customFormat="1" ht="12" customHeight="1" x14ac:dyDescent="0.2">
      <c r="B43" s="338"/>
      <c r="C43" s="339"/>
      <c r="D43" s="104"/>
      <c r="E43" s="106"/>
      <c r="F43" s="105"/>
      <c r="G43" s="105">
        <f t="shared" si="0"/>
        <v>0</v>
      </c>
      <c r="H43" s="338"/>
      <c r="I43" s="339"/>
      <c r="J43" s="338"/>
      <c r="K43" s="340"/>
      <c r="L43" s="339"/>
    </row>
    <row r="44" spans="2:12" s="99" customFormat="1" ht="12" customHeight="1" x14ac:dyDescent="0.2">
      <c r="B44" s="338"/>
      <c r="C44" s="339"/>
      <c r="D44" s="104"/>
      <c r="E44" s="106"/>
      <c r="F44" s="105"/>
      <c r="G44" s="105">
        <f t="shared" si="0"/>
        <v>0</v>
      </c>
      <c r="H44" s="338"/>
      <c r="I44" s="339"/>
      <c r="J44" s="338"/>
      <c r="K44" s="340"/>
      <c r="L44" s="339"/>
    </row>
    <row r="45" spans="2:12" s="99" customFormat="1" ht="12" customHeight="1" x14ac:dyDescent="0.2">
      <c r="B45" s="338"/>
      <c r="C45" s="339"/>
      <c r="D45" s="104"/>
      <c r="E45" s="106"/>
      <c r="F45" s="105"/>
      <c r="G45" s="105">
        <f t="shared" si="0"/>
        <v>0</v>
      </c>
      <c r="H45" s="338"/>
      <c r="I45" s="339"/>
      <c r="J45" s="338"/>
      <c r="K45" s="340"/>
      <c r="L45" s="339"/>
    </row>
    <row r="46" spans="2:12" s="99" customFormat="1" ht="12" customHeight="1" x14ac:dyDescent="0.2">
      <c r="B46" s="338"/>
      <c r="C46" s="339"/>
      <c r="D46" s="104"/>
      <c r="E46" s="106"/>
      <c r="F46" s="105"/>
      <c r="G46" s="105">
        <f t="shared" si="0"/>
        <v>0</v>
      </c>
      <c r="H46" s="338"/>
      <c r="I46" s="339"/>
      <c r="J46" s="338"/>
      <c r="K46" s="340"/>
      <c r="L46" s="339"/>
    </row>
    <row r="47" spans="2:12" s="99" customFormat="1" ht="12" customHeight="1" x14ac:dyDescent="0.2">
      <c r="B47" s="345"/>
      <c r="C47" s="345"/>
      <c r="D47" s="104"/>
      <c r="E47" s="106"/>
      <c r="F47" s="105"/>
      <c r="G47" s="105">
        <f t="shared" si="0"/>
        <v>0</v>
      </c>
      <c r="H47" s="345"/>
      <c r="I47" s="345"/>
      <c r="J47" s="345"/>
      <c r="K47" s="345"/>
      <c r="L47" s="345"/>
    </row>
    <row r="48" spans="2:12" s="99" customFormat="1" ht="12" customHeight="1" x14ac:dyDescent="0.2">
      <c r="B48" s="345"/>
      <c r="C48" s="345"/>
      <c r="D48" s="104"/>
      <c r="E48" s="106"/>
      <c r="F48" s="105"/>
      <c r="G48" s="105">
        <f t="shared" si="0"/>
        <v>0</v>
      </c>
      <c r="H48" s="345"/>
      <c r="I48" s="345"/>
      <c r="J48" s="345"/>
      <c r="K48" s="345"/>
      <c r="L48" s="345"/>
    </row>
    <row r="49" spans="2:12" ht="12" customHeight="1" x14ac:dyDescent="0.2">
      <c r="B49" s="335" t="s">
        <v>297</v>
      </c>
      <c r="C49" s="336"/>
      <c r="D49" s="336"/>
      <c r="E49" s="336"/>
      <c r="F49" s="337"/>
      <c r="G49" s="107">
        <f>SUM(G41:G48)</f>
        <v>0</v>
      </c>
      <c r="H49" s="341"/>
      <c r="I49" s="341"/>
      <c r="J49" s="341"/>
      <c r="K49" s="341"/>
      <c r="L49" s="341"/>
    </row>
    <row r="50" spans="2:12" ht="4" customHeight="1" x14ac:dyDescent="0.2">
      <c r="G50" s="108"/>
      <c r="H50" s="341"/>
      <c r="I50" s="341"/>
      <c r="J50" s="341"/>
      <c r="K50" s="341"/>
      <c r="L50" s="341"/>
    </row>
    <row r="51" spans="2:12" ht="12" customHeight="1" x14ac:dyDescent="0.2">
      <c r="B51" s="344" t="s">
        <v>298</v>
      </c>
      <c r="C51" s="344"/>
      <c r="D51" s="344"/>
      <c r="E51" s="344"/>
      <c r="F51" s="344"/>
      <c r="G51" s="109">
        <v>1</v>
      </c>
      <c r="H51" s="341"/>
      <c r="I51" s="341"/>
      <c r="J51" s="341"/>
      <c r="K51" s="341"/>
      <c r="L51" s="341"/>
    </row>
    <row r="52" spans="2:12" ht="4" customHeight="1" x14ac:dyDescent="0.2">
      <c r="B52" s="341"/>
      <c r="C52" s="341"/>
      <c r="D52" s="110"/>
      <c r="E52" s="97"/>
      <c r="F52" s="108"/>
      <c r="G52" s="108"/>
      <c r="H52" s="341"/>
      <c r="I52" s="341"/>
      <c r="J52" s="341"/>
      <c r="K52" s="341"/>
      <c r="L52" s="341"/>
    </row>
    <row r="53" spans="2:12" ht="12" customHeight="1" x14ac:dyDescent="0.2">
      <c r="B53" s="342" t="s">
        <v>299</v>
      </c>
      <c r="C53" s="342"/>
      <c r="D53" s="342"/>
      <c r="E53" s="342"/>
      <c r="F53" s="342"/>
      <c r="G53" s="342"/>
      <c r="H53" s="342"/>
      <c r="I53" s="342"/>
      <c r="J53" s="342"/>
      <c r="K53" s="342"/>
      <c r="L53" s="342"/>
    </row>
    <row r="54" spans="2:12" ht="12" customHeight="1" x14ac:dyDescent="0.2">
      <c r="B54" s="343" t="s">
        <v>290</v>
      </c>
      <c r="C54" s="343"/>
      <c r="D54" s="103" t="s">
        <v>291</v>
      </c>
      <c r="E54" s="103" t="s">
        <v>292</v>
      </c>
      <c r="F54" s="103" t="s">
        <v>293</v>
      </c>
      <c r="G54" s="103" t="s">
        <v>294</v>
      </c>
      <c r="H54" s="343" t="s">
        <v>295</v>
      </c>
      <c r="I54" s="343"/>
      <c r="J54" s="343" t="s">
        <v>296</v>
      </c>
      <c r="K54" s="343"/>
      <c r="L54" s="343"/>
    </row>
    <row r="55" spans="2:12" ht="12" customHeight="1" x14ac:dyDescent="0.2">
      <c r="B55" s="338"/>
      <c r="C55" s="339"/>
      <c r="D55" s="104"/>
      <c r="E55" s="104"/>
      <c r="F55" s="105"/>
      <c r="G55" s="105">
        <f>F55*B55</f>
        <v>0</v>
      </c>
      <c r="H55" s="338"/>
      <c r="I55" s="339"/>
      <c r="J55" s="338"/>
      <c r="K55" s="340"/>
      <c r="L55" s="339"/>
    </row>
    <row r="56" spans="2:12" ht="12" customHeight="1" x14ac:dyDescent="0.2">
      <c r="B56" s="338"/>
      <c r="C56" s="339"/>
      <c r="D56" s="104"/>
      <c r="E56" s="106"/>
      <c r="F56" s="105"/>
      <c r="G56" s="105">
        <f t="shared" ref="G56:G58" si="1">F56*B56</f>
        <v>0</v>
      </c>
      <c r="H56" s="338"/>
      <c r="I56" s="339"/>
      <c r="J56" s="338"/>
      <c r="K56" s="340"/>
      <c r="L56" s="339"/>
    </row>
    <row r="57" spans="2:12" ht="12" customHeight="1" x14ac:dyDescent="0.2">
      <c r="B57" s="338"/>
      <c r="C57" s="339"/>
      <c r="D57" s="104"/>
      <c r="E57" s="106"/>
      <c r="F57" s="105"/>
      <c r="G57" s="105">
        <f t="shared" si="1"/>
        <v>0</v>
      </c>
      <c r="H57" s="338"/>
      <c r="I57" s="339"/>
      <c r="J57" s="338"/>
      <c r="K57" s="340"/>
      <c r="L57" s="339"/>
    </row>
    <row r="58" spans="2:12" ht="12" customHeight="1" x14ac:dyDescent="0.2">
      <c r="B58" s="111"/>
      <c r="C58" s="112"/>
      <c r="D58" s="104"/>
      <c r="E58" s="106"/>
      <c r="F58" s="105"/>
      <c r="G58" s="105">
        <f t="shared" si="1"/>
        <v>0</v>
      </c>
      <c r="H58" s="111"/>
      <c r="I58" s="112"/>
      <c r="J58" s="111"/>
      <c r="K58" s="113"/>
      <c r="L58" s="112"/>
    </row>
    <row r="59" spans="2:12" ht="12" customHeight="1" x14ac:dyDescent="0.2">
      <c r="B59" s="335" t="s">
        <v>300</v>
      </c>
      <c r="C59" s="336"/>
      <c r="D59" s="336"/>
      <c r="E59" s="336"/>
      <c r="F59" s="337"/>
      <c r="G59" s="107">
        <f>SUM(G55:G58)</f>
        <v>0</v>
      </c>
      <c r="H59" s="338"/>
      <c r="I59" s="339"/>
      <c r="J59" s="338"/>
      <c r="K59" s="340"/>
      <c r="L59" s="339"/>
    </row>
    <row r="60" spans="2:12" ht="4" customHeight="1" x14ac:dyDescent="0.2">
      <c r="B60" s="341"/>
      <c r="C60" s="341"/>
      <c r="D60" s="110"/>
      <c r="E60" s="97"/>
      <c r="F60" s="108"/>
      <c r="G60" s="108"/>
      <c r="H60" s="341"/>
      <c r="I60" s="341"/>
      <c r="J60" s="341"/>
      <c r="K60" s="341"/>
      <c r="L60" s="341"/>
    </row>
    <row r="61" spans="2:12" ht="12" customHeight="1" x14ac:dyDescent="0.2">
      <c r="B61" s="327" t="s">
        <v>301</v>
      </c>
      <c r="C61" s="327"/>
      <c r="D61" s="327"/>
      <c r="E61" s="327"/>
      <c r="F61" s="328">
        <f>SUM(G59,G49)</f>
        <v>0</v>
      </c>
      <c r="G61" s="329"/>
      <c r="H61" s="330" t="s">
        <v>302</v>
      </c>
      <c r="I61" s="330"/>
      <c r="J61" s="330"/>
      <c r="K61" s="330"/>
      <c r="L61" s="330"/>
    </row>
    <row r="62" spans="2:12" ht="12" customHeight="1" x14ac:dyDescent="0.2">
      <c r="B62" s="327" t="s">
        <v>303</v>
      </c>
      <c r="C62" s="327"/>
      <c r="D62" s="327"/>
      <c r="E62" s="327"/>
      <c r="F62" s="331"/>
      <c r="G62" s="332"/>
      <c r="H62" s="330"/>
      <c r="I62" s="330"/>
      <c r="J62" s="330"/>
      <c r="K62" s="330"/>
      <c r="L62" s="330"/>
    </row>
    <row r="63" spans="2:12" ht="12" customHeight="1" x14ac:dyDescent="0.2">
      <c r="B63" s="327" t="s">
        <v>304</v>
      </c>
      <c r="C63" s="327"/>
      <c r="D63" s="327"/>
      <c r="E63" s="327"/>
      <c r="F63" s="333">
        <f>SUM(F61,F62)</f>
        <v>0</v>
      </c>
      <c r="G63" s="334"/>
      <c r="H63" s="330"/>
      <c r="I63" s="330"/>
      <c r="J63" s="330"/>
      <c r="K63" s="330"/>
      <c r="L63" s="330"/>
    </row>
    <row r="64" spans="2:12" ht="12" customHeight="1" x14ac:dyDescent="0.2"/>
    <row r="65" spans="2:12" ht="12" customHeight="1" x14ac:dyDescent="0.2">
      <c r="B65" s="325" t="s">
        <v>305</v>
      </c>
      <c r="C65" s="325"/>
      <c r="D65" s="325"/>
      <c r="E65" s="325"/>
      <c r="F65" s="325"/>
      <c r="G65" s="96"/>
      <c r="H65" s="325" t="s">
        <v>306</v>
      </c>
      <c r="I65" s="325"/>
      <c r="J65" s="325"/>
      <c r="K65" s="325"/>
      <c r="L65" s="325"/>
    </row>
    <row r="66" spans="2:12" ht="12" customHeight="1" x14ac:dyDescent="0.2"/>
    <row r="67" spans="2:12" x14ac:dyDescent="0.2">
      <c r="B67" s="114"/>
      <c r="C67" s="114"/>
      <c r="D67" s="114"/>
      <c r="E67" s="114"/>
      <c r="F67" s="114"/>
      <c r="H67" s="114"/>
      <c r="I67" s="114"/>
      <c r="J67" s="114"/>
      <c r="K67" s="114"/>
      <c r="L67" s="114"/>
    </row>
    <row r="75" spans="2:12" x14ac:dyDescent="0.2">
      <c r="B75" s="326" t="s">
        <v>307</v>
      </c>
      <c r="C75" s="326"/>
      <c r="D75" s="326"/>
      <c r="E75" s="326"/>
      <c r="F75" s="326"/>
      <c r="G75" s="326"/>
      <c r="H75" s="326"/>
      <c r="I75" s="326"/>
      <c r="J75" s="326"/>
      <c r="K75" s="326"/>
      <c r="L75" s="326"/>
    </row>
    <row r="77" spans="2:12" x14ac:dyDescent="0.2">
      <c r="B77" s="323" t="s">
        <v>308</v>
      </c>
      <c r="C77" s="323"/>
      <c r="D77" s="323"/>
      <c r="E77" s="323"/>
      <c r="F77" s="323"/>
      <c r="G77" s="323"/>
      <c r="H77" s="323"/>
      <c r="I77" s="323"/>
      <c r="J77" s="323"/>
      <c r="K77" s="323"/>
      <c r="L77" s="323"/>
    </row>
    <row r="78" spans="2:12" x14ac:dyDescent="0.2">
      <c r="B78" s="323"/>
      <c r="C78" s="323"/>
      <c r="D78" s="323"/>
      <c r="E78" s="323"/>
      <c r="F78" s="323"/>
      <c r="G78" s="323"/>
      <c r="H78" s="323"/>
      <c r="I78" s="323"/>
      <c r="J78" s="323"/>
      <c r="K78" s="323"/>
      <c r="L78" s="323"/>
    </row>
    <row r="79" spans="2:12" ht="14" customHeight="1" x14ac:dyDescent="0.2">
      <c r="B79" s="323" t="s">
        <v>309</v>
      </c>
      <c r="C79" s="323"/>
      <c r="D79" s="323"/>
      <c r="E79" s="323"/>
      <c r="F79" s="323"/>
      <c r="G79" s="323"/>
      <c r="H79" s="323"/>
      <c r="I79" s="323"/>
      <c r="J79" s="323"/>
      <c r="K79" s="323"/>
      <c r="L79" s="323"/>
    </row>
    <row r="80" spans="2:12" x14ac:dyDescent="0.2"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3"/>
    </row>
    <row r="81" spans="2:12" x14ac:dyDescent="0.2"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</row>
    <row r="82" spans="2:12" x14ac:dyDescent="0.2">
      <c r="B82" s="323"/>
      <c r="C82" s="323"/>
      <c r="D82" s="323"/>
      <c r="E82" s="323"/>
      <c r="F82" s="323"/>
      <c r="G82" s="323"/>
      <c r="H82" s="323"/>
      <c r="I82" s="323"/>
      <c r="J82" s="323"/>
      <c r="K82" s="323"/>
      <c r="L82" s="323"/>
    </row>
    <row r="83" spans="2:12" x14ac:dyDescent="0.2">
      <c r="B83" s="323" t="s">
        <v>310</v>
      </c>
      <c r="C83" s="323"/>
      <c r="D83" s="323"/>
      <c r="E83" s="323"/>
      <c r="F83" s="323"/>
      <c r="G83" s="323"/>
      <c r="H83" s="323"/>
      <c r="I83" s="323"/>
      <c r="J83" s="323"/>
      <c r="K83" s="323"/>
      <c r="L83" s="323"/>
    </row>
    <row r="84" spans="2:12" x14ac:dyDescent="0.2">
      <c r="B84" s="323"/>
      <c r="C84" s="323"/>
      <c r="D84" s="323"/>
      <c r="E84" s="323"/>
      <c r="F84" s="323"/>
      <c r="G84" s="323"/>
      <c r="H84" s="323"/>
      <c r="I84" s="323"/>
      <c r="J84" s="323"/>
      <c r="K84" s="323"/>
      <c r="L84" s="323"/>
    </row>
    <row r="85" spans="2:12" ht="14" customHeight="1" x14ac:dyDescent="0.2">
      <c r="B85" s="323" t="s">
        <v>311</v>
      </c>
      <c r="C85" s="323"/>
      <c r="D85" s="323"/>
      <c r="E85" s="323"/>
      <c r="F85" s="323"/>
      <c r="G85" s="323"/>
      <c r="H85" s="323"/>
      <c r="I85" s="323"/>
      <c r="J85" s="323"/>
      <c r="K85" s="323"/>
      <c r="L85" s="323"/>
    </row>
    <row r="86" spans="2:12" x14ac:dyDescent="0.2"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</row>
    <row r="87" spans="2:12" x14ac:dyDescent="0.2">
      <c r="B87" s="323"/>
      <c r="C87" s="323"/>
      <c r="D87" s="323"/>
      <c r="E87" s="323"/>
      <c r="F87" s="323"/>
      <c r="G87" s="323"/>
      <c r="H87" s="323"/>
      <c r="I87" s="323"/>
      <c r="J87" s="323"/>
      <c r="K87" s="323"/>
      <c r="L87" s="323"/>
    </row>
    <row r="88" spans="2:12" x14ac:dyDescent="0.2">
      <c r="B88" s="323" t="s">
        <v>312</v>
      </c>
      <c r="C88" s="323"/>
      <c r="D88" s="323"/>
      <c r="E88" s="323"/>
      <c r="F88" s="323"/>
      <c r="G88" s="323"/>
      <c r="H88" s="323"/>
      <c r="I88" s="323"/>
      <c r="J88" s="323"/>
      <c r="K88" s="323"/>
      <c r="L88" s="323"/>
    </row>
    <row r="89" spans="2:12" x14ac:dyDescent="0.2">
      <c r="B89" s="323"/>
      <c r="C89" s="323"/>
      <c r="D89" s="323"/>
      <c r="E89" s="323"/>
      <c r="F89" s="323"/>
      <c r="G89" s="323"/>
      <c r="H89" s="323"/>
      <c r="I89" s="323"/>
      <c r="J89" s="323"/>
      <c r="K89" s="323"/>
      <c r="L89" s="323"/>
    </row>
    <row r="90" spans="2:12" x14ac:dyDescent="0.2">
      <c r="B90" s="323"/>
      <c r="C90" s="323"/>
      <c r="D90" s="323"/>
      <c r="E90" s="323"/>
      <c r="F90" s="323"/>
      <c r="G90" s="323"/>
      <c r="H90" s="323"/>
      <c r="I90" s="323"/>
      <c r="J90" s="323"/>
      <c r="K90" s="323"/>
      <c r="L90" s="323"/>
    </row>
    <row r="91" spans="2:12" ht="14" customHeight="1" x14ac:dyDescent="0.2">
      <c r="B91" s="324" t="s">
        <v>313</v>
      </c>
      <c r="C91" s="324"/>
      <c r="D91" s="324"/>
      <c r="E91" s="324"/>
      <c r="F91" s="324"/>
      <c r="G91" s="324"/>
      <c r="H91" s="324"/>
      <c r="I91" s="324"/>
      <c r="J91" s="324"/>
      <c r="K91" s="324"/>
      <c r="L91" s="324"/>
    </row>
    <row r="92" spans="2:12" x14ac:dyDescent="0.2">
      <c r="B92" s="324"/>
      <c r="C92" s="324"/>
      <c r="D92" s="324"/>
      <c r="E92" s="324"/>
      <c r="F92" s="324"/>
      <c r="G92" s="324"/>
      <c r="H92" s="324"/>
      <c r="I92" s="324"/>
      <c r="J92" s="324"/>
      <c r="K92" s="324"/>
      <c r="L92" s="324"/>
    </row>
    <row r="93" spans="2:12" x14ac:dyDescent="0.2">
      <c r="B93" s="323" t="s">
        <v>314</v>
      </c>
      <c r="C93" s="323"/>
      <c r="D93" s="323"/>
      <c r="E93" s="323"/>
      <c r="F93" s="323"/>
      <c r="G93" s="323"/>
      <c r="H93" s="323"/>
      <c r="I93" s="323"/>
      <c r="J93" s="323"/>
      <c r="K93" s="323"/>
      <c r="L93" s="323"/>
    </row>
    <row r="94" spans="2:12" x14ac:dyDescent="0.2">
      <c r="B94" s="323"/>
      <c r="C94" s="323"/>
      <c r="D94" s="323"/>
      <c r="E94" s="323"/>
      <c r="F94" s="323"/>
      <c r="G94" s="323"/>
      <c r="H94" s="323"/>
      <c r="I94" s="323"/>
      <c r="J94" s="323"/>
      <c r="K94" s="323"/>
      <c r="L94" s="323"/>
    </row>
    <row r="95" spans="2:12" x14ac:dyDescent="0.2">
      <c r="B95" s="323"/>
      <c r="C95" s="323"/>
      <c r="D95" s="323"/>
      <c r="E95" s="323"/>
      <c r="F95" s="323"/>
      <c r="G95" s="323"/>
      <c r="H95" s="323"/>
      <c r="I95" s="323"/>
      <c r="J95" s="323"/>
      <c r="K95" s="323"/>
      <c r="L95" s="323"/>
    </row>
  </sheetData>
  <mergeCells count="76">
    <mergeCell ref="B41:C41"/>
    <mergeCell ref="H41:I41"/>
    <mergeCell ref="J41:L41"/>
    <mergeCell ref="B2:L2"/>
    <mergeCell ref="B39:L39"/>
    <mergeCell ref="B40:C40"/>
    <mergeCell ref="H40:I40"/>
    <mergeCell ref="J40:L40"/>
    <mergeCell ref="B42:C42"/>
    <mergeCell ref="H42:I42"/>
    <mergeCell ref="J42:L42"/>
    <mergeCell ref="B43:C43"/>
    <mergeCell ref="H43:I43"/>
    <mergeCell ref="J43:L43"/>
    <mergeCell ref="B44:C44"/>
    <mergeCell ref="H44:I44"/>
    <mergeCell ref="J44:L44"/>
    <mergeCell ref="B45:C45"/>
    <mergeCell ref="H45:I45"/>
    <mergeCell ref="J45:L45"/>
    <mergeCell ref="B46:C46"/>
    <mergeCell ref="H46:I46"/>
    <mergeCell ref="J46:L46"/>
    <mergeCell ref="B47:C47"/>
    <mergeCell ref="H47:I47"/>
    <mergeCell ref="J47:L47"/>
    <mergeCell ref="B52:C52"/>
    <mergeCell ref="H52:I52"/>
    <mergeCell ref="J52:L52"/>
    <mergeCell ref="B48:C48"/>
    <mergeCell ref="H48:I48"/>
    <mergeCell ref="J48:L48"/>
    <mergeCell ref="B49:F49"/>
    <mergeCell ref="H49:I49"/>
    <mergeCell ref="J49:L49"/>
    <mergeCell ref="H50:I50"/>
    <mergeCell ref="J50:L50"/>
    <mergeCell ref="B51:F51"/>
    <mergeCell ref="H51:I51"/>
    <mergeCell ref="J51:L51"/>
    <mergeCell ref="B53:L53"/>
    <mergeCell ref="B54:C54"/>
    <mergeCell ref="H54:I54"/>
    <mergeCell ref="J54:L54"/>
    <mergeCell ref="B55:C55"/>
    <mergeCell ref="H55:I55"/>
    <mergeCell ref="J55:L55"/>
    <mergeCell ref="B56:C56"/>
    <mergeCell ref="H56:I56"/>
    <mergeCell ref="J56:L56"/>
    <mergeCell ref="B57:C57"/>
    <mergeCell ref="H57:I57"/>
    <mergeCell ref="J57:L57"/>
    <mergeCell ref="B59:F59"/>
    <mergeCell ref="H59:I59"/>
    <mergeCell ref="J59:L59"/>
    <mergeCell ref="B60:C60"/>
    <mergeCell ref="H60:I60"/>
    <mergeCell ref="J60:L60"/>
    <mergeCell ref="B61:E61"/>
    <mergeCell ref="F61:G61"/>
    <mergeCell ref="H61:L63"/>
    <mergeCell ref="B62:E62"/>
    <mergeCell ref="F62:G62"/>
    <mergeCell ref="B63:E63"/>
    <mergeCell ref="F63:G63"/>
    <mergeCell ref="B85:L87"/>
    <mergeCell ref="B88:L90"/>
    <mergeCell ref="B91:L92"/>
    <mergeCell ref="B93:L95"/>
    <mergeCell ref="B65:F65"/>
    <mergeCell ref="H65:L65"/>
    <mergeCell ref="B75:L75"/>
    <mergeCell ref="B77:L78"/>
    <mergeCell ref="B79:L82"/>
    <mergeCell ref="B83:L84"/>
  </mergeCells>
  <dataValidations count="1">
    <dataValidation type="list" allowBlank="1" sqref="D41:D48 D52 D55:D58 D60" xr:uid="{0607865B-794B-1B48-B303-59C66FBA5287}">
      <formula1>"Sinal,Única,Mensais,Semestrais,Anuais"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614A8-0C1A-3A46-9245-8F2B86C82854}">
  <sheetPr>
    <tabColor rgb="FF00B0F0"/>
  </sheetPr>
  <dimension ref="B1:K32"/>
  <sheetViews>
    <sheetView workbookViewId="0">
      <selection activeCell="C4" sqref="C4:I4"/>
    </sheetView>
  </sheetViews>
  <sheetFormatPr baseColWidth="10" defaultRowHeight="16" x14ac:dyDescent="0.2"/>
  <cols>
    <col min="1" max="1" width="5" style="1" customWidth="1"/>
    <col min="2" max="2" width="45.33203125" style="1" customWidth="1"/>
    <col min="3" max="3" width="15.83203125" style="1" customWidth="1"/>
    <col min="4" max="4" width="14.5" style="1" customWidth="1"/>
    <col min="5" max="5" width="17.5" style="1" customWidth="1"/>
    <col min="6" max="6" width="41.5" style="1" customWidth="1"/>
    <col min="7" max="7" width="37.6640625" style="1" customWidth="1"/>
    <col min="8" max="8" width="18.33203125" style="1" customWidth="1"/>
    <col min="9" max="9" width="15.6640625" style="1" customWidth="1"/>
    <col min="10" max="10" width="10.83203125" style="1"/>
    <col min="11" max="11" width="0" style="1" hidden="1" customWidth="1"/>
    <col min="12" max="16384" width="10.83203125" style="1"/>
  </cols>
  <sheetData>
    <row r="1" spans="2:11" ht="103" customHeight="1" thickBot="1" x14ac:dyDescent="0.25"/>
    <row r="2" spans="2:11" x14ac:dyDescent="0.2">
      <c r="B2" s="349" t="s">
        <v>315</v>
      </c>
      <c r="C2" s="350"/>
      <c r="D2" s="350"/>
      <c r="E2" s="350"/>
      <c r="F2" s="350"/>
      <c r="G2" s="350"/>
      <c r="H2" s="350"/>
      <c r="I2" s="351"/>
    </row>
    <row r="3" spans="2:11" ht="17" thickBot="1" x14ac:dyDescent="0.25">
      <c r="B3" s="352"/>
      <c r="C3" s="353"/>
      <c r="D3" s="353"/>
      <c r="E3" s="353"/>
      <c r="F3" s="353"/>
      <c r="G3" s="353"/>
      <c r="H3" s="353"/>
      <c r="I3" s="354"/>
    </row>
    <row r="4" spans="2:11" ht="32" customHeight="1" thickBot="1" x14ac:dyDescent="0.25">
      <c r="B4" s="115" t="s">
        <v>40</v>
      </c>
      <c r="C4" s="355" t="s">
        <v>324</v>
      </c>
      <c r="D4" s="355"/>
      <c r="E4" s="355"/>
      <c r="F4" s="355"/>
      <c r="G4" s="355"/>
      <c r="H4" s="355"/>
      <c r="I4" s="356"/>
    </row>
    <row r="6" spans="2:11" x14ac:dyDescent="0.2">
      <c r="B6" s="37" t="s">
        <v>316</v>
      </c>
      <c r="C6" s="37" t="s">
        <v>317</v>
      </c>
      <c r="D6" s="37" t="s">
        <v>318</v>
      </c>
      <c r="E6" s="37" t="s">
        <v>319</v>
      </c>
      <c r="F6" s="37" t="s">
        <v>320</v>
      </c>
      <c r="G6" s="37" t="s">
        <v>321</v>
      </c>
      <c r="H6" s="37" t="s">
        <v>322</v>
      </c>
      <c r="I6" s="37" t="s">
        <v>323</v>
      </c>
    </row>
    <row r="7" spans="2:11" x14ac:dyDescent="0.2">
      <c r="B7" s="2"/>
      <c r="C7" s="2"/>
      <c r="D7" s="2"/>
      <c r="E7" s="2"/>
      <c r="F7" s="2"/>
      <c r="G7" s="2"/>
      <c r="H7" s="2"/>
      <c r="I7" s="2"/>
      <c r="K7" s="1" t="s">
        <v>323</v>
      </c>
    </row>
    <row r="8" spans="2:11" x14ac:dyDescent="0.2">
      <c r="B8" s="2"/>
      <c r="C8" s="2"/>
      <c r="D8" s="2"/>
      <c r="E8" s="2"/>
      <c r="F8" s="2"/>
      <c r="G8" s="2"/>
      <c r="H8" s="2"/>
      <c r="I8" s="2"/>
      <c r="K8" s="1" t="s">
        <v>325</v>
      </c>
    </row>
    <row r="9" spans="2:11" x14ac:dyDescent="0.2">
      <c r="B9" s="2"/>
      <c r="C9" s="2"/>
      <c r="D9" s="2"/>
      <c r="E9" s="2"/>
      <c r="F9" s="2"/>
      <c r="G9" s="2"/>
      <c r="H9" s="2"/>
      <c r="I9" s="2"/>
      <c r="K9" s="1" t="s">
        <v>44</v>
      </c>
    </row>
    <row r="10" spans="2:11" x14ac:dyDescent="0.2">
      <c r="B10" s="2"/>
      <c r="C10" s="2"/>
      <c r="D10" s="2"/>
      <c r="E10" s="2"/>
      <c r="F10" s="2"/>
      <c r="G10" s="2"/>
      <c r="H10" s="2"/>
      <c r="I10" s="2"/>
      <c r="K10" s="1" t="s">
        <v>326</v>
      </c>
    </row>
    <row r="11" spans="2:11" x14ac:dyDescent="0.2">
      <c r="B11" s="2"/>
      <c r="C11" s="2"/>
      <c r="D11" s="2"/>
      <c r="E11" s="2"/>
      <c r="F11" s="2"/>
      <c r="G11" s="2"/>
      <c r="H11" s="2"/>
      <c r="I11" s="2"/>
    </row>
    <row r="12" spans="2:11" x14ac:dyDescent="0.2">
      <c r="B12" s="2"/>
      <c r="C12" s="2"/>
      <c r="D12" s="2"/>
      <c r="E12" s="2"/>
      <c r="F12" s="2"/>
      <c r="G12" s="2"/>
      <c r="H12" s="2"/>
      <c r="I12" s="2"/>
    </row>
    <row r="13" spans="2:11" x14ac:dyDescent="0.2">
      <c r="B13" s="2"/>
      <c r="C13" s="2"/>
      <c r="D13" s="2"/>
      <c r="E13" s="2"/>
      <c r="F13" s="2"/>
      <c r="G13" s="2"/>
      <c r="H13" s="2"/>
      <c r="I13" s="2"/>
    </row>
    <row r="14" spans="2:11" x14ac:dyDescent="0.2">
      <c r="B14" s="2"/>
      <c r="C14" s="2"/>
      <c r="D14" s="2"/>
      <c r="E14" s="2"/>
      <c r="F14" s="2"/>
      <c r="G14" s="2"/>
      <c r="H14" s="2"/>
      <c r="I14" s="2"/>
    </row>
    <row r="15" spans="2:11" x14ac:dyDescent="0.2">
      <c r="B15" s="2"/>
      <c r="C15" s="2"/>
      <c r="D15" s="2"/>
      <c r="E15" s="2"/>
      <c r="F15" s="2"/>
      <c r="G15" s="2"/>
      <c r="H15" s="2"/>
      <c r="I15" s="2"/>
    </row>
    <row r="16" spans="2:11" x14ac:dyDescent="0.2">
      <c r="B16" s="2"/>
      <c r="C16" s="2"/>
      <c r="D16" s="2"/>
      <c r="E16" s="2"/>
      <c r="F16" s="2"/>
      <c r="G16" s="2"/>
      <c r="H16" s="2"/>
      <c r="I16" s="2"/>
    </row>
    <row r="17" spans="2:9" x14ac:dyDescent="0.2">
      <c r="B17" s="2"/>
      <c r="C17" s="2"/>
      <c r="D17" s="2"/>
      <c r="E17" s="2"/>
      <c r="F17" s="2"/>
      <c r="G17" s="2"/>
      <c r="H17" s="2"/>
      <c r="I17" s="2"/>
    </row>
    <row r="18" spans="2:9" x14ac:dyDescent="0.2">
      <c r="B18" s="2"/>
      <c r="C18" s="2"/>
      <c r="D18" s="2"/>
      <c r="E18" s="2"/>
      <c r="F18" s="2"/>
      <c r="G18" s="2"/>
      <c r="H18" s="2"/>
      <c r="I18" s="2"/>
    </row>
    <row r="19" spans="2:9" x14ac:dyDescent="0.2">
      <c r="B19" s="2"/>
      <c r="C19" s="2"/>
      <c r="D19" s="2"/>
      <c r="E19" s="2"/>
      <c r="F19" s="2"/>
      <c r="G19" s="2"/>
      <c r="H19" s="2"/>
      <c r="I19" s="2"/>
    </row>
    <row r="20" spans="2:9" x14ac:dyDescent="0.2">
      <c r="B20" s="2"/>
      <c r="C20" s="2"/>
      <c r="D20" s="2"/>
      <c r="E20" s="2"/>
      <c r="F20" s="2"/>
      <c r="G20" s="2"/>
      <c r="H20" s="2"/>
      <c r="I20" s="2"/>
    </row>
    <row r="21" spans="2:9" x14ac:dyDescent="0.2">
      <c r="B21" s="2"/>
      <c r="C21" s="2"/>
      <c r="D21" s="2"/>
      <c r="E21" s="2"/>
      <c r="F21" s="2"/>
      <c r="G21" s="2"/>
      <c r="H21" s="2"/>
      <c r="I21" s="2"/>
    </row>
    <row r="22" spans="2:9" x14ac:dyDescent="0.2">
      <c r="B22" s="2"/>
      <c r="C22" s="2"/>
      <c r="D22" s="2"/>
      <c r="E22" s="2"/>
      <c r="F22" s="2"/>
      <c r="G22" s="2"/>
      <c r="H22" s="2"/>
      <c r="I22" s="2"/>
    </row>
    <row r="23" spans="2:9" x14ac:dyDescent="0.2">
      <c r="B23" s="2"/>
      <c r="C23" s="2"/>
      <c r="D23" s="2"/>
      <c r="E23" s="2"/>
      <c r="F23" s="2"/>
      <c r="G23" s="2"/>
      <c r="H23" s="2"/>
      <c r="I23" s="2"/>
    </row>
    <row r="24" spans="2:9" x14ac:dyDescent="0.2">
      <c r="B24" s="2"/>
      <c r="C24" s="2"/>
      <c r="D24" s="2"/>
      <c r="E24" s="2"/>
      <c r="F24" s="2"/>
      <c r="G24" s="2"/>
      <c r="H24" s="2"/>
      <c r="I24" s="2"/>
    </row>
    <row r="25" spans="2:9" x14ac:dyDescent="0.2">
      <c r="B25" s="2"/>
      <c r="C25" s="2"/>
      <c r="D25" s="2"/>
      <c r="E25" s="2"/>
      <c r="F25" s="2"/>
      <c r="G25" s="2"/>
      <c r="H25" s="2"/>
      <c r="I25" s="2"/>
    </row>
    <row r="26" spans="2:9" x14ac:dyDescent="0.2">
      <c r="B26" s="2"/>
      <c r="C26" s="2"/>
      <c r="D26" s="2"/>
      <c r="E26" s="2"/>
      <c r="F26" s="2"/>
      <c r="G26" s="2"/>
      <c r="H26" s="2"/>
      <c r="I26" s="2"/>
    </row>
    <row r="27" spans="2:9" x14ac:dyDescent="0.2">
      <c r="B27" s="2"/>
      <c r="C27" s="2"/>
      <c r="D27" s="2"/>
      <c r="E27" s="2"/>
      <c r="F27" s="2"/>
      <c r="G27" s="2"/>
      <c r="H27" s="2"/>
      <c r="I27" s="2"/>
    </row>
    <row r="28" spans="2:9" x14ac:dyDescent="0.2">
      <c r="B28" s="2"/>
      <c r="C28" s="2"/>
      <c r="D28" s="2"/>
      <c r="E28" s="2"/>
      <c r="F28" s="2"/>
      <c r="G28" s="2"/>
      <c r="H28" s="2"/>
      <c r="I28" s="2"/>
    </row>
    <row r="29" spans="2:9" x14ac:dyDescent="0.2">
      <c r="B29" s="2"/>
      <c r="C29" s="2"/>
      <c r="D29" s="2"/>
      <c r="E29" s="2"/>
      <c r="F29" s="2"/>
      <c r="G29" s="2"/>
      <c r="H29" s="2"/>
      <c r="I29" s="2"/>
    </row>
    <row r="30" spans="2:9" x14ac:dyDescent="0.2">
      <c r="B30" s="2"/>
      <c r="C30" s="2"/>
      <c r="D30" s="2"/>
      <c r="E30" s="2"/>
      <c r="F30" s="2"/>
      <c r="G30" s="2"/>
      <c r="H30" s="2"/>
      <c r="I30" s="2"/>
    </row>
    <row r="31" spans="2:9" x14ac:dyDescent="0.2">
      <c r="B31" s="2"/>
      <c r="C31" s="2"/>
      <c r="D31" s="2"/>
      <c r="E31" s="2"/>
      <c r="F31" s="2"/>
      <c r="G31" s="2"/>
      <c r="H31" s="2"/>
      <c r="I31" s="2"/>
    </row>
    <row r="32" spans="2:9" x14ac:dyDescent="0.2">
      <c r="B32" s="2"/>
      <c r="C32" s="2"/>
      <c r="D32" s="2"/>
      <c r="E32" s="2"/>
      <c r="F32" s="2"/>
      <c r="G32" s="2"/>
      <c r="H32" s="2"/>
      <c r="I32" s="2"/>
    </row>
  </sheetData>
  <mergeCells count="2">
    <mergeCell ref="C4:I4"/>
    <mergeCell ref="B2:I3"/>
  </mergeCells>
  <conditionalFormatting sqref="I7:I32">
    <cfRule type="containsText" dxfId="2" priority="3" operator="containsText" text="a ser feito">
      <formula>NOT(ISERROR(SEARCH("a ser feito",I7)))</formula>
    </cfRule>
    <cfRule type="containsText" dxfId="1" priority="2" operator="containsText" text="em andamento">
      <formula>NOT(ISERROR(SEARCH("em andamento",I7)))</formula>
    </cfRule>
    <cfRule type="containsText" dxfId="0" priority="1" operator="containsText" text="realizado">
      <formula>NOT(ISERROR(SEARCH("realizado",I7)))</formula>
    </cfRule>
  </conditionalFormatting>
  <dataValidations count="1">
    <dataValidation type="list" allowBlank="1" showInputMessage="1" showErrorMessage="1" sqref="I7:I32" xr:uid="{35468265-C4DA-7042-A085-A903297B12EA}">
      <formula1>$K$8:$K$10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MODELAGEM</vt:lpstr>
      <vt:lpstr>MATRIZ CHA</vt:lpstr>
      <vt:lpstr>PLANEJAMENTO</vt:lpstr>
      <vt:lpstr>LISTA DE PROSPECÇÃO</vt:lpstr>
      <vt:lpstr>SCRIPT DE ABERTURA</vt:lpstr>
      <vt:lpstr>PERGUNTAS PODEROSAS</vt:lpstr>
      <vt:lpstr>CANVA DO CLIENTE</vt:lpstr>
      <vt:lpstr>EFEITO UAU</vt:lpstr>
      <vt:lpstr>OBJEÇÕES</vt:lpstr>
      <vt:lpstr>PROPOSTA DE FECHAMENTO</vt:lpstr>
      <vt:lpstr>AGENDA DO 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Taveira</dc:creator>
  <cp:lastModifiedBy>Christiane Taveira</cp:lastModifiedBy>
  <dcterms:created xsi:type="dcterms:W3CDTF">2022-05-12T19:51:28Z</dcterms:created>
  <dcterms:modified xsi:type="dcterms:W3CDTF">2022-06-01T19:43:01Z</dcterms:modified>
</cp:coreProperties>
</file>